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icket Log" sheetId="2" state="visible" r:id="rId4"/>
    <sheet name="Quick Wi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<sst xmlns="http://schemas.openxmlformats.org/spreadsheetml/2006/main" count="1577" uniqueCount="590">
  <si>
    <t xml:space="preserve">CTTC Support Ticket Tracker</t>
  </si>
  <si>
    <t xml:space="preserve">Running log of customer support tickets (source: no_reply@centexnet.com Ticket API + ISPN Helpdesk escalations)</t>
  </si>
  <si>
    <t xml:space="preserve">Total tickets logged</t>
  </si>
  <si>
    <t xml:space="preserve">Open / escalated</t>
  </si>
  <si>
    <t xml:space="preserve">Resolved</t>
  </si>
  <si>
    <t xml:space="preserve">Security / phishing flagged</t>
  </si>
  <si>
    <t xml:space="preserve">Escalation rate</t>
  </si>
  <si>
    <t xml:space="preserve">No problem found rate</t>
  </si>
  <si>
    <t xml:space="preserve">Repeat contacts (&lt;48 hrs)</t>
  </si>
  <si>
    <t xml:space="preserve">Quick wins in progress</t>
  </si>
  <si>
    <t xml:space="preserve">How to use this tracker</t>
  </si>
  <si>
    <t xml:space="preserve">1. Log every new ticket batch as a new row on the "Ticket Log" tab, starting at the first blank row.</t>
  </si>
  <si>
    <t xml:space="preserve">2. Fill Security/Phishing Flag with Y or N for every ticket — this is the field the dashboard uses to track incidents.</t>
  </si>
  <si>
    <t xml:space="preserve">3. Use the Recommended Priority column to triage (Low / Medium / High / Critical); the system's own "Priority" field currently always reads Medium, so don't rely on it.</t>
  </si>
  <si>
    <t xml:space="preserve">4. Mark Status as Open, Escalated, or Resolved. Escalated rows should also get the ISPN Ticket ID in column D.</t>
  </si>
  <si>
    <t xml:space="preserve">5. Track quick-win rollouts on the "Quick Wins" tab and update Status as each moves from Not Started → In Progress → Done.</t>
  </si>
  <si>
    <t xml:space="preserve">Ticket Log</t>
  </si>
  <si>
    <t xml:space="preserve">Rows 6-23 are the 18 tickets pulled from tholden@wavsys.com's inbox, July 23 4:52 PM - July 24 4:41 PM CDT. Add new tickets below as new batches come in.</t>
  </si>
  <si>
    <t xml:space="preserve">Date reported</t>
  </si>
  <si>
    <t xml:space="preserve">API ticket #</t>
  </si>
  <si>
    <t xml:space="preserve">Escalation ID (ISPN)</t>
  </si>
  <si>
    <t xml:space="preserve">Town</t>
  </si>
  <si>
    <t xml:space="preserve">Customer</t>
  </si>
  <si>
    <t xml:space="preserve">Category</t>
  </si>
  <si>
    <t xml:space="preserve">Security /
phishing flag</t>
  </si>
  <si>
    <t xml:space="preserve">Status</t>
  </si>
  <si>
    <t xml:space="preserve">Resolution / outcome</t>
  </si>
  <si>
    <t xml:space="preserve">System priority</t>
  </si>
  <si>
    <t xml:space="preserve">Recommended
priority</t>
  </si>
  <si>
    <t xml:space="preserve">Notes</t>
  </si>
  <si>
    <t xml:space="preserve">2026-07-23 10:52</t>
  </si>
  <si>
    <t xml:space="preserve">10013101</t>
  </si>
  <si>
    <t xml:space="preserve">Cherokee</t>
  </si>
  <si>
    <t xml:space="preserve">G Douglas Clancey</t>
  </si>
  <si>
    <t xml:space="preserve">Need help setting up device</t>
  </si>
  <si>
    <t xml:space="preserve">N</t>
  </si>
  <si>
    <t xml:space="preserve">No Problem Found - old router still broadcasting old SSID</t>
  </si>
  <si>
    <t xml:space="preserve">Medium</t>
  </si>
  <si>
    <t xml:space="preserve">Low</t>
  </si>
  <si>
    <t xml:space="preserve">2026-07-23 12:58</t>
  </si>
  <si>
    <t xml:space="preserve">10013102</t>
  </si>
  <si>
    <t xml:space="preserve">35123833</t>
  </si>
  <si>
    <t xml:space="preserve">Goldthwaite</t>
  </si>
  <si>
    <t xml:space="preserve">Edgar Arredondo</t>
  </si>
  <si>
    <t xml:space="preserve">Internet slow</t>
  </si>
  <si>
    <t xml:space="preserve">Escalated</t>
  </si>
  <si>
    <t xml:space="preserve">Rebooted via Calix Cloud; customer not home to confirm fix; dispatcher left voicemail same day</t>
  </si>
  <si>
    <t xml:space="preserve">Escalation ack ~17 min after alert</t>
  </si>
  <si>
    <t xml:space="preserve">2026-07-23 13:33</t>
  </si>
  <si>
    <t xml:space="preserve">10013103</t>
  </si>
  <si>
    <t xml:space="preserve">San Angelo City</t>
  </si>
  <si>
    <t xml:space="preserve">Allan McCann</t>
  </si>
  <si>
    <t xml:space="preserve">Email trouble</t>
  </si>
  <si>
    <t xml:space="preserve">Y</t>
  </si>
  <si>
    <t xml:space="preserve">Reset password; customer clicked phishing link and account was compromised</t>
  </si>
  <si>
    <t xml:space="preserve">High</t>
  </si>
  <si>
    <t xml:space="preserve">Phishing incident - credential compromise</t>
  </si>
  <si>
    <t xml:space="preserve">2026-07-23 14:37</t>
  </si>
  <si>
    <t xml:space="preserve">10013104</t>
  </si>
  <si>
    <t xml:space="preserve">San Saba</t>
  </si>
  <si>
    <t xml:space="preserve">Keith Shahan</t>
  </si>
  <si>
    <t xml:space="preserve">Fixed mail filter rule (was blocking Schwab/LPL trade confirmations)</t>
  </si>
  <si>
    <t xml:space="preserve">Repeat contact - same customer again same day, see 10013118</t>
  </si>
  <si>
    <t xml:space="preserve">2026-07-23 16:12</t>
  </si>
  <si>
    <t xml:space="preserve">10013106</t>
  </si>
  <si>
    <t xml:space="preserve">San Saba Guest House (business)</t>
  </si>
  <si>
    <t xml:space="preserve">No Problem Found - located correct router for new install</t>
  </si>
  <si>
    <t xml:space="preserve">2026-07-23 16:25</t>
  </si>
  <si>
    <t xml:space="preserve">10013107</t>
  </si>
  <si>
    <t xml:space="preserve">35124867</t>
  </si>
  <si>
    <t xml:space="preserve">Richland Springs</t>
  </si>
  <si>
    <t xml:space="preserve">Leanne &amp; Aaron Johnson</t>
  </si>
  <si>
    <t xml:space="preserve">Device buffering</t>
  </si>
  <si>
    <t xml:space="preserve">Full outage, WAN/ONT checked, no fix over phone; tech (Ethan) dispatched same day</t>
  </si>
  <si>
    <t xml:space="preserve">Escalation ack ~5 min after alert</t>
  </si>
  <si>
    <t xml:space="preserve">2026-07-23 16:28</t>
  </si>
  <si>
    <t xml:space="preserve">10013108</t>
  </si>
  <si>
    <t xml:space="preserve">Star</t>
  </si>
  <si>
    <t xml:space="preserve">Pat &amp; Cindy Griggs</t>
  </si>
  <si>
    <t xml:space="preserve">No Problem Found - customer received phishing email, did not click, reported it</t>
  </si>
  <si>
    <t xml:space="preserve">Phishing incident - reported, no compromise</t>
  </si>
  <si>
    <t xml:space="preserve">2026-07-23 17:38</t>
  </si>
  <si>
    <t xml:space="preserve">10013109</t>
  </si>
  <si>
    <t xml:space="preserve">Fred &amp; Nancy Pelzel</t>
  </si>
  <si>
    <t xml:space="preserve">Reset password; account compromised via phishing; customer educated on phishing red flags</t>
  </si>
  <si>
    <t xml:space="preserve">2026-07-23 17:46</t>
  </si>
  <si>
    <t xml:space="preserve">10013110</t>
  </si>
  <si>
    <t xml:space="preserve">Bend</t>
  </si>
  <si>
    <t xml:space="preserve">Byron &amp; Lisa Theodosis</t>
  </si>
  <si>
    <t xml:space="preserve">Customer Canceled - set up CommandIQ app, changed WiFi password</t>
  </si>
  <si>
    <t xml:space="preserve">2026-07-24 08:08</t>
  </si>
  <si>
    <t xml:space="preserve">10013111</t>
  </si>
  <si>
    <t xml:space="preserve">George Menefee</t>
  </si>
  <si>
    <t xml:space="preserve">Reset password (routine, CPNI verified)</t>
  </si>
  <si>
    <t xml:space="preserve">2026-07-24 10:32</t>
  </si>
  <si>
    <t xml:space="preserve">10013112</t>
  </si>
  <si>
    <t xml:space="preserve">James &amp; Janel Runyan</t>
  </si>
  <si>
    <t xml:space="preserve">Reset password; customer clicked fake CTTC "scheduled maintenance" link and entered credentials</t>
  </si>
  <si>
    <t xml:space="preserve">Critical</t>
  </si>
  <si>
    <t xml:space="preserve">Phishing incident - impersonates CTTC directly, active credential entry</t>
  </si>
  <si>
    <t xml:space="preserve">2026-07-24 11:50</t>
  </si>
  <si>
    <t xml:space="preserve">10013113</t>
  </si>
  <si>
    <t xml:space="preserve">Ron Hopton-Jones</t>
  </si>
  <si>
    <t xml:space="preserve">Internet not working</t>
  </si>
  <si>
    <t xml:space="preserve">Reboot Router/Hub fixed it</t>
  </si>
  <si>
    <t xml:space="preserve">2026-07-24 11:52</t>
  </si>
  <si>
    <t xml:space="preserve">10013114</t>
  </si>
  <si>
    <t xml:space="preserve">35127608</t>
  </si>
  <si>
    <t xml:space="preserve">Jewell Larimer</t>
  </si>
  <si>
    <t xml:space="preserve">Customer wants router replaced (believes hacked); dispatch scheduled for Monday</t>
  </si>
  <si>
    <t xml:space="preserve">Customer showed distress/paranoia re: hacking - flag for soft-skills follow-up</t>
  </si>
  <si>
    <t xml:space="preserve">2026-07-24 12:29</t>
  </si>
  <si>
    <t xml:space="preserve">10013116</t>
  </si>
  <si>
    <t xml:space="preserve">35127778</t>
  </si>
  <si>
    <t xml:space="preserve">Priddy</t>
  </si>
  <si>
    <t xml:space="preserve">Audrey N Kane</t>
  </si>
  <si>
    <t xml:space="preserve">CPE showing degraded connection; no dispatcher reply visible yet in this inbox</t>
  </si>
  <si>
    <t xml:space="preserve">Escalation status pending as of data pull</t>
  </si>
  <si>
    <t xml:space="preserve">2026-07-24 13:31</t>
  </si>
  <si>
    <t xml:space="preserve">10013117</t>
  </si>
  <si>
    <t xml:space="preserve">35128007</t>
  </si>
  <si>
    <t xml:space="preserve">Madelynn Shell</t>
  </si>
  <si>
    <t xml:space="preserve">Internet going on/off</t>
  </si>
  <si>
    <t xml:space="preserve">Intermittent WiFi drop; tech (Aric) to swap router, cutover to XGS scheduled 7/30</t>
  </si>
  <si>
    <t xml:space="preserve">Escalation ack ~10 min after alert; customer WFH 2 days/week - business impact; 6-day wait for physical fix</t>
  </si>
  <si>
    <t xml:space="preserve">2026-07-24 14:18</t>
  </si>
  <si>
    <t xml:space="preserve">10013118</t>
  </si>
  <si>
    <t xml:space="preserve">Customer Canceled - callback confirmed issue resolved itself</t>
  </si>
  <si>
    <t xml:space="preserve">Repeat contact - same customer as 10013104, same day</t>
  </si>
  <si>
    <t xml:space="preserve">2026-07-24 15:13</t>
  </si>
  <si>
    <t xml:space="preserve">10013120</t>
  </si>
  <si>
    <t xml:space="preserve">Kelly Brown</t>
  </si>
  <si>
    <t xml:space="preserve">No Problem Found - helped set up separate 2.4GHz band for smart device</t>
  </si>
  <si>
    <t xml:space="preserve">2026-07-24 16:41</t>
  </si>
  <si>
    <t xml:space="preserve">10013121</t>
  </si>
  <si>
    <t xml:space="preserve">Mullin</t>
  </si>
  <si>
    <t xml:space="preserve">Jared &amp; Caitlyn Gandy</t>
  </si>
  <si>
    <t xml:space="preserve">No Problem Found - set up separate 2.4GHz band</t>
  </si>
  <si>
    <t xml:space="preserve">2026-07-25 16:01</t>
  </si>
  <si>
    <t xml:space="preserve">10013122</t>
  </si>
  <si>
    <t xml:space="preserve">Bobbie Landrum</t>
  </si>
  <si>
    <t xml:space="preserve">Logged</t>
  </si>
  <si>
    <t xml:space="preserve">No reply visible in this inbox - verify outcome in ticket system</t>
  </si>
  <si>
    <t xml:space="preserve">2026-07-25 16:07</t>
  </si>
  <si>
    <t xml:space="preserve">10013123</t>
  </si>
  <si>
    <t xml:space="preserve">Mercury</t>
  </si>
  <si>
    <t xml:space="preserve">George Mauldin Jr</t>
  </si>
  <si>
    <t xml:space="preserve">Reclassified as a general inquiry, forwarded to ISPN helpdesk</t>
  </si>
  <si>
    <t xml:space="preserve">2026-07-25 16:44</t>
  </si>
  <si>
    <t xml:space="preserve">10013124</t>
  </si>
  <si>
    <t xml:space="preserve">Buddy &amp; Connie Adams</t>
  </si>
  <si>
    <t xml:space="preserve">Nana is contacting customer</t>
  </si>
  <si>
    <t xml:space="preserve">2026-07-25 17:16</t>
  </si>
  <si>
    <t xml:space="preserve">10013125</t>
  </si>
  <si>
    <t xml:space="preserve">Evant</t>
  </si>
  <si>
    <t xml:space="preserve">Marilyn Lucas</t>
  </si>
  <si>
    <t xml:space="preserve">2026-07-25 17:48</t>
  </si>
  <si>
    <t xml:space="preserve">10013126</t>
  </si>
  <si>
    <t xml:space="preserve">Gary &amp; Milly Summy</t>
  </si>
  <si>
    <t xml:space="preserve">Repeat contact - 1st of 3 same-day tickets from this customer</t>
  </si>
  <si>
    <t xml:space="preserve">2026-07-25 19:23</t>
  </si>
  <si>
    <t xml:space="preserve">10013127</t>
  </si>
  <si>
    <t xml:space="preserve">Repeat contact - 2nd of 3 same-day tickets from this customer</t>
  </si>
  <si>
    <t xml:space="preserve">2026-07-25 19:25</t>
  </si>
  <si>
    <t xml:space="preserve">10013128</t>
  </si>
  <si>
    <t xml:space="preserve">Repeat contact - 3rd of 3 same-day tickets, 2 min after prior ticket</t>
  </si>
  <si>
    <t xml:space="preserve">2026-07-25 22:02</t>
  </si>
  <si>
    <t xml:space="preserve">10013129</t>
  </si>
  <si>
    <t xml:space="preserve">Robert Jeff Harrell</t>
  </si>
  <si>
    <t xml:space="preserve">2026-07-25 22:39</t>
  </si>
  <si>
    <t xml:space="preserve">10013130</t>
  </si>
  <si>
    <t xml:space="preserve">Monty &amp; Carla Carlisle</t>
  </si>
  <si>
    <t xml:space="preserve">2026-07-25 23:26</t>
  </si>
  <si>
    <t xml:space="preserve">10013131</t>
  </si>
  <si>
    <t xml:space="preserve">Eola</t>
  </si>
  <si>
    <t xml:space="preserve">Cohler Jameson</t>
  </si>
  <si>
    <t xml:space="preserve">Repeat contact - 1st of 3 tickets from this customer over 2 days</t>
  </si>
  <si>
    <t xml:space="preserve">2026-07-26 01:09</t>
  </si>
  <si>
    <t xml:space="preserve">10013132</t>
  </si>
  <si>
    <t xml:space="preserve">Repeat contact - 2nd of 3</t>
  </si>
  <si>
    <t xml:space="preserve">2026-07-26 14:13</t>
  </si>
  <si>
    <t xml:space="preserve">10013133</t>
  </si>
  <si>
    <t xml:space="preserve">Repeat contact - 3rd of 3, issue changed from email to internet</t>
  </si>
  <si>
    <t xml:space="preserve">2026-07-26 15:48</t>
  </si>
  <si>
    <t xml:space="preserve">10013134</t>
  </si>
  <si>
    <t xml:space="preserve">M. E. Curtin</t>
  </si>
  <si>
    <t xml:space="preserve">2026-07-26 18:06</t>
  </si>
  <si>
    <t xml:space="preserve">10013135</t>
  </si>
  <si>
    <t xml:space="preserve">Scott &amp; Teri O'Glee</t>
  </si>
  <si>
    <t xml:space="preserve">2026-07-26 18:58</t>
  </si>
  <si>
    <t xml:space="preserve">10013136</t>
  </si>
  <si>
    <t xml:space="preserve">Richard Roberts</t>
  </si>
  <si>
    <t xml:space="preserve">2026-07-26 19:16</t>
  </si>
  <si>
    <t xml:space="preserve">10013137</t>
  </si>
  <si>
    <t xml:space="preserve">Repeat contact - 1st of 3 over 3 days; same customer flagged in prior week for distress re: hacking concerns</t>
  </si>
  <si>
    <t xml:space="preserve">2026-07-26 21:44</t>
  </si>
  <si>
    <t xml:space="preserve">10013138</t>
  </si>
  <si>
    <t xml:space="preserve">Lohn</t>
  </si>
  <si>
    <t xml:space="preserve">Brooks 8 Land LLC</t>
  </si>
  <si>
    <t xml:space="preserve">2026-07-27 13:46</t>
  </si>
  <si>
    <t xml:space="preserve">10013139</t>
  </si>
  <si>
    <t xml:space="preserve">Kay McFall</t>
  </si>
  <si>
    <t xml:space="preserve">Customer not home until after 1pm; sending Ray</t>
  </si>
  <si>
    <t xml:space="preserve">2026-07-27 14:51</t>
  </si>
  <si>
    <t xml:space="preserve">10013140</t>
  </si>
  <si>
    <t xml:space="preserve">Rondel Stevens</t>
  </si>
  <si>
    <t xml:space="preserve">Ticket type code CT (callback) in system</t>
  </si>
  <si>
    <t xml:space="preserve">2026-07-27 16:06</t>
  </si>
  <si>
    <t xml:space="preserve">10013141</t>
  </si>
  <si>
    <t xml:space="preserve">Reagan Grimes</t>
  </si>
  <si>
    <t xml:space="preserve">Mesh network confirmed working correctly</t>
  </si>
  <si>
    <t xml:space="preserve">2026-07-27 19:12</t>
  </si>
  <si>
    <t xml:space="preserve">10013144</t>
  </si>
  <si>
    <t xml:space="preserve">Southwestern Livestock Mineral</t>
  </si>
  <si>
    <t xml:space="preserve">Password manually reset; customer had been targeted by phishing attempts along with other customers; identity verified before reset</t>
  </si>
  <si>
    <t xml:space="preserve">Phishing incident - business account; 1st of 2 contacts same day; ticket type code CT</t>
  </si>
  <si>
    <t xml:space="preserve">2026-07-27 19:28</t>
  </si>
  <si>
    <t xml:space="preserve">10013145</t>
  </si>
  <si>
    <t xml:space="preserve">James &amp; Pat Maples</t>
  </si>
  <si>
    <t xml:space="preserve">2026-07-27 19:46</t>
  </si>
  <si>
    <t xml:space="preserve">10013146</t>
  </si>
  <si>
    <t xml:space="preserve">George Stock</t>
  </si>
  <si>
    <t xml:space="preserve">Repeat contact - 1st of 3 same-customer tickets in ~1 day; ticket type code CT</t>
  </si>
  <si>
    <t xml:space="preserve">2026-07-27 20:22</t>
  </si>
  <si>
    <t xml:space="preserve">10013149</t>
  </si>
  <si>
    <t xml:space="preserve">No reply visible - 2nd contact same day as phishing incident above</t>
  </si>
  <si>
    <t xml:space="preserve">Repeat contact tied to phishing account above; ticket type code CT</t>
  </si>
  <si>
    <t xml:space="preserve">2026-07-27 20:26</t>
  </si>
  <si>
    <t xml:space="preserve">10013150</t>
  </si>
  <si>
    <t xml:space="preserve">Wifi ext not working</t>
  </si>
  <si>
    <t xml:space="preserve">Repeat contact - 2nd of 3; ticket type code CT</t>
  </si>
  <si>
    <t xml:space="preserve">2026-07-27 21:30</t>
  </si>
  <si>
    <t xml:space="preserve">10013151</t>
  </si>
  <si>
    <t xml:space="preserve">Myra &amp; Andy Juarez</t>
  </si>
  <si>
    <t xml:space="preserve">2026-07-27 21:39</t>
  </si>
  <si>
    <t xml:space="preserve">10013152</t>
  </si>
  <si>
    <t xml:space="preserve">Max Jacobs</t>
  </si>
  <si>
    <t xml:space="preserve">Repeat contact - 1st of 2, ~1 week apart; ticket type code CT</t>
  </si>
  <si>
    <t xml:space="preserve">2026-07-27 21:41</t>
  </si>
  <si>
    <t xml:space="preserve">10013153</t>
  </si>
  <si>
    <t xml:space="preserve">Johnny Holder</t>
  </si>
  <si>
    <t xml:space="preserve">2026-07-28 02:57</t>
  </si>
  <si>
    <t xml:space="preserve">10013154</t>
  </si>
  <si>
    <t xml:space="preserve">Repeat contact - 3rd of 3 tickets from this customer in ~1 day</t>
  </si>
  <si>
    <t xml:space="preserve">2026-07-28 14:36</t>
  </si>
  <si>
    <t xml:space="preserve">10013156</t>
  </si>
  <si>
    <t xml:space="preserve">Locker</t>
  </si>
  <si>
    <t xml:space="preserve">Donna Hill</t>
  </si>
  <si>
    <t xml:space="preserve">2026-07-28 14:59</t>
  </si>
  <si>
    <t xml:space="preserve">10013157</t>
  </si>
  <si>
    <t xml:space="preserve">Boyd Humphries</t>
  </si>
  <si>
    <t xml:space="preserve">Repeat contact - 1st of 2, ~1 week apart</t>
  </si>
  <si>
    <t xml:space="preserve">2026-07-28 15:31</t>
  </si>
  <si>
    <t xml:space="preserve">10013159</t>
  </si>
  <si>
    <t xml:space="preserve">ICT Investments (John Drennan)</t>
  </si>
  <si>
    <t xml:space="preserve">Business account, full outage (OT)</t>
  </si>
  <si>
    <t xml:space="preserve">2026-07-28 15:51</t>
  </si>
  <si>
    <t xml:space="preserve">10013161</t>
  </si>
  <si>
    <t xml:space="preserve">2026-07-28 18:07</t>
  </si>
  <si>
    <t xml:space="preserve">10013163</t>
  </si>
  <si>
    <t xml:space="preserve">James Copeland</t>
  </si>
  <si>
    <t xml:space="preserve">Sending Ray; customer being moved to XGS fiber</t>
  </si>
  <si>
    <t xml:space="preserve">Full outage (OT)</t>
  </si>
  <si>
    <t xml:space="preserve">2026-07-28 18:55</t>
  </si>
  <si>
    <t xml:space="preserve">10013164</t>
  </si>
  <si>
    <t xml:space="preserve">Marsha Davee</t>
  </si>
  <si>
    <t xml:space="preserve">2026-07-28 19:36</t>
  </si>
  <si>
    <t xml:space="preserve">10013165</t>
  </si>
  <si>
    <t xml:space="preserve">Repeat contact - 3rd of 3 over 3 days</t>
  </si>
  <si>
    <t xml:space="preserve">2026-07-28 19:57</t>
  </si>
  <si>
    <t xml:space="preserve">10013166</t>
  </si>
  <si>
    <t xml:space="preserve">Haverlah Ranches</t>
  </si>
  <si>
    <t xml:space="preserve">2026-07-28 21:45</t>
  </si>
  <si>
    <t xml:space="preserve">10013168</t>
  </si>
  <si>
    <t xml:space="preserve">Charles K &amp; Durelle B Avery</t>
  </si>
  <si>
    <t xml:space="preserve">2026-07-28 21:49</t>
  </si>
  <si>
    <t xml:space="preserve">10013169</t>
  </si>
  <si>
    <t xml:space="preserve">Susan K Barrier</t>
  </si>
  <si>
    <t xml:space="preserve">Repeat contact - 1st of 2; full outage (OT)</t>
  </si>
  <si>
    <t xml:space="preserve">2026-07-28 22:27</t>
  </si>
  <si>
    <t xml:space="preserve">10013170</t>
  </si>
  <si>
    <t xml:space="preserve">Randy Mccrea</t>
  </si>
  <si>
    <t xml:space="preserve">2026-07-29 01:49</t>
  </si>
  <si>
    <t xml:space="preserve">10013171</t>
  </si>
  <si>
    <t xml:space="preserve">Voca</t>
  </si>
  <si>
    <t xml:space="preserve">Robert Shurtleff</t>
  </si>
  <si>
    <t xml:space="preserve">Repeat contact - 1st of 2, 2 min before next ticket</t>
  </si>
  <si>
    <t xml:space="preserve">2026-07-29 01:51</t>
  </si>
  <si>
    <t xml:space="preserve">10013172</t>
  </si>
  <si>
    <t xml:space="preserve">Repeat contact - 2nd of 2, same visit escalated to OT; full outage pattern</t>
  </si>
  <si>
    <t xml:space="preserve">2026-07-29 14:20</t>
  </si>
  <si>
    <t xml:space="preserve">10013176</t>
  </si>
  <si>
    <t xml:space="preserve">Charlie Matthews</t>
  </si>
  <si>
    <t xml:space="preserve">2026-07-29 15:01</t>
  </si>
  <si>
    <t xml:space="preserve">10013177</t>
  </si>
  <si>
    <t xml:space="preserve">Big Valley</t>
  </si>
  <si>
    <t xml:space="preserve">Linda &amp; Michael Crum</t>
  </si>
  <si>
    <t xml:space="preserve">2026-07-29 15:05</t>
  </si>
  <si>
    <t xml:space="preserve">10013178</t>
  </si>
  <si>
    <t xml:space="preserve">New Hope Lifestyles</t>
  </si>
  <si>
    <t xml:space="preserve">Business account</t>
  </si>
  <si>
    <t xml:space="preserve">2026-07-29 20:37</t>
  </si>
  <si>
    <t xml:space="preserve">10013180</t>
  </si>
  <si>
    <t xml:space="preserve">Repeat contact - 2nd of 2; full outage (OT)</t>
  </si>
  <si>
    <t xml:space="preserve">2026-07-29 21:08</t>
  </si>
  <si>
    <t xml:space="preserve">10013181</t>
  </si>
  <si>
    <t xml:space="preserve">Rosa Montoya</t>
  </si>
  <si>
    <t xml:space="preserve">Field found customer has an 844e that needs replacing; CTTC will handle directly</t>
  </si>
  <si>
    <t xml:space="preserve">Repeat contact - 1st of 2 same night</t>
  </si>
  <si>
    <t xml:space="preserve">2026-07-29 21:30</t>
  </si>
  <si>
    <t xml:space="preserve">10013184</t>
  </si>
  <si>
    <t xml:space="preserve">Repeat contact - 2nd of 2 same night, ~20 min after prior ticket</t>
  </si>
  <si>
    <t xml:space="preserve">2026-07-30 00:29</t>
  </si>
  <si>
    <t xml:space="preserve">10013185</t>
  </si>
  <si>
    <t xml:space="preserve">Tommie Tucker</t>
  </si>
  <si>
    <t xml:space="preserve">Reconnect order already ran but service still down; suspected pets chewing fiber line (0 light); customer tired, follow-up scheduled next morning</t>
  </si>
  <si>
    <t xml:space="preserve">Repeat contact - 1st of 2, next-day repeat below; full outage (OT)</t>
  </si>
  <si>
    <t xml:space="preserve">2026-07-30 01:11</t>
  </si>
  <si>
    <t xml:space="preserve">10013186</t>
  </si>
  <si>
    <t xml:space="preserve">Dane Green</t>
  </si>
  <si>
    <t xml:space="preserve">2026-07-30 01:38</t>
  </si>
  <si>
    <t xml:space="preserve">10013187</t>
  </si>
  <si>
    <t xml:space="preserve">Camron Williamson</t>
  </si>
  <si>
    <t xml:space="preserve">Cloud speed test showed 1.00Gbps down / 996Mbps up; tech (Tom) dispatched to confirm on-site</t>
  </si>
  <si>
    <t xml:space="preserve">Repeat contact - 1st of 2 same night; full outage flag (OT)</t>
  </si>
  <si>
    <t xml:space="preserve">2026-07-30 02:34</t>
  </si>
  <si>
    <t xml:space="preserve">10013188</t>
  </si>
  <si>
    <t xml:space="preserve">Tech on-site; resolution status unconfirmed at time of last reply</t>
  </si>
  <si>
    <t xml:space="preserve">Repeat contact - 2nd of 2 same night, ~1 hr after prior ticket</t>
  </si>
  <si>
    <t xml:space="preserve">2026-07-30 03:51</t>
  </si>
  <si>
    <t xml:space="preserve">10013189</t>
  </si>
  <si>
    <t xml:space="preserve">Diggs</t>
  </si>
  <si>
    <t xml:space="preserve">2026-07-30 14:42</t>
  </si>
  <si>
    <t xml:space="preserve">10013190</t>
  </si>
  <si>
    <t xml:space="preserve">Wayne Clendenen</t>
  </si>
  <si>
    <t xml:space="preserve">2026-07-30 15:22</t>
  </si>
  <si>
    <t xml:space="preserve">10013191</t>
  </si>
  <si>
    <t xml:space="preserve">John &amp; Ann Altizer</t>
  </si>
  <si>
    <t xml:space="preserve">2026-07-30 15:38</t>
  </si>
  <si>
    <t xml:space="preserve">10013192</t>
  </si>
  <si>
    <t xml:space="preserve">David &amp; Deborah Twiford</t>
  </si>
  <si>
    <t xml:space="preserve">2026-07-30 16:18</t>
  </si>
  <si>
    <t xml:space="preserve">10013194</t>
  </si>
  <si>
    <t xml:space="preserve">Linda Benskin</t>
  </si>
  <si>
    <t xml:space="preserve">2026-07-30 16:32</t>
  </si>
  <si>
    <t xml:space="preserve">10013197</t>
  </si>
  <si>
    <t xml:space="preserve">Eden Echo</t>
  </si>
  <si>
    <t xml:space="preserve">2026-07-30 17:19</t>
  </si>
  <si>
    <t xml:space="preserve">10013198</t>
  </si>
  <si>
    <t xml:space="preserve">James or Zelda Hillegas</t>
  </si>
  <si>
    <t xml:space="preserve">2026-07-30 18:04</t>
  </si>
  <si>
    <t xml:space="preserve">10013199</t>
  </si>
  <si>
    <t xml:space="preserve">Larry W Schiller</t>
  </si>
  <si>
    <t xml:space="preserve">2026-07-30 19:07</t>
  </si>
  <si>
    <t xml:space="preserve">10013200</t>
  </si>
  <si>
    <t xml:space="preserve">The Leisure Center</t>
  </si>
  <si>
    <t xml:space="preserve">Repeat contact - 1st of 2, ~2 days apart; business account</t>
  </si>
  <si>
    <t xml:space="preserve">2026-07-30 21:22</t>
  </si>
  <si>
    <t xml:space="preserve">10013201</t>
  </si>
  <si>
    <t xml:space="preserve">Blake Ashley</t>
  </si>
  <si>
    <t xml:space="preserve">Sending Hunter</t>
  </si>
  <si>
    <t xml:space="preserve">2026-07-30 21:46</t>
  </si>
  <si>
    <t xml:space="preserve">10013202</t>
  </si>
  <si>
    <t xml:space="preserve">Mark Locker</t>
  </si>
  <si>
    <t xml:space="preserve">2026-07-30 23:28</t>
  </si>
  <si>
    <t xml:space="preserve">10013203</t>
  </si>
  <si>
    <t xml:space="preserve">Repeat contact - 2nd of 2, next day after fiber-chew ticket above; full outage (OT)</t>
  </si>
  <si>
    <t xml:space="preserve">2026-07-31 01:25</t>
  </si>
  <si>
    <t xml:space="preserve">10013204</t>
  </si>
  <si>
    <t xml:space="preserve">Haylee Fraser</t>
  </si>
  <si>
    <t xml:space="preserve">2026-07-31 13:28</t>
  </si>
  <si>
    <t xml:space="preserve">10013205</t>
  </si>
  <si>
    <t xml:space="preserve">Big Buck Real Estate LLC</t>
  </si>
  <si>
    <t xml:space="preserve">2026-07-31 14:17</t>
  </si>
  <si>
    <t xml:space="preserve">10013206</t>
  </si>
  <si>
    <t xml:space="preserve">Msc Ranch</t>
  </si>
  <si>
    <t xml:space="preserve">2026-07-31 20:30</t>
  </si>
  <si>
    <t xml:space="preserve">10013209</t>
  </si>
  <si>
    <t xml:space="preserve">William Williams</t>
  </si>
  <si>
    <t xml:space="preserve">Customer recalled a prior TV reset fix from a past move; wants to try that self-fix before a truck roll</t>
  </si>
  <si>
    <t xml:space="preserve">2026-07-31 20:39</t>
  </si>
  <si>
    <t xml:space="preserve">10013210</t>
  </si>
  <si>
    <t xml:space="preserve">Vireta Parker</t>
  </si>
  <si>
    <t xml:space="preserve">2026-07-31 20:42</t>
  </si>
  <si>
    <t xml:space="preserve">10013211</t>
  </si>
  <si>
    <t xml:space="preserve">David Barbour</t>
  </si>
  <si>
    <t xml:space="preserve">2026-07-31 20:46</t>
  </si>
  <si>
    <t xml:space="preserve">10013212</t>
  </si>
  <si>
    <t xml:space="preserve">Danny Barker</t>
  </si>
  <si>
    <t xml:space="preserve">2026-07-31 20:54</t>
  </si>
  <si>
    <t xml:space="preserve">10013213</t>
  </si>
  <si>
    <t xml:space="preserve">Mirella Swan</t>
  </si>
  <si>
    <t xml:space="preserve">2026-07-31 21:35</t>
  </si>
  <si>
    <t xml:space="preserve">10013214</t>
  </si>
  <si>
    <t xml:space="preserve">Rodrigo Leyva</t>
  </si>
  <si>
    <t xml:space="preserve">2026-07-31 21:41</t>
  </si>
  <si>
    <t xml:space="preserve">10013215</t>
  </si>
  <si>
    <t xml:space="preserve">Stuart Speck</t>
  </si>
  <si>
    <t xml:space="preserve">Neighbor to a same-day install; outage timing matches tech (Tom) changing jumpers nearby, likely accidentally bumped; tech returning to fix</t>
  </si>
  <si>
    <t xml:space="preserve">Root cause was internal (tech-caused); full outage (OT)</t>
  </si>
  <si>
    <t xml:space="preserve">2026-07-31 22:50</t>
  </si>
  <si>
    <t xml:space="preserve">10013216</t>
  </si>
  <si>
    <t xml:space="preserve">Todd McCarty</t>
  </si>
  <si>
    <t xml:space="preserve">2026-08-01 14:30</t>
  </si>
  <si>
    <t xml:space="preserve">10013217</t>
  </si>
  <si>
    <t xml:space="preserve">Kenneth Hayes</t>
  </si>
  <si>
    <t xml:space="preserve">2026-08-01 15:24</t>
  </si>
  <si>
    <t xml:space="preserve">10013218</t>
  </si>
  <si>
    <t xml:space="preserve">Gene Daniels</t>
  </si>
  <si>
    <t xml:space="preserve">2026-08-01 15:29</t>
  </si>
  <si>
    <t xml:space="preserve">10013219</t>
  </si>
  <si>
    <t xml:space="preserve">D'lisa Fearn</t>
  </si>
  <si>
    <t xml:space="preserve">2026-08-01 15:48</t>
  </si>
  <si>
    <t xml:space="preserve">10013220</t>
  </si>
  <si>
    <t xml:space="preserve">Repeat contact - 2nd of 3 same-day tickets</t>
  </si>
  <si>
    <t xml:space="preserve">2026-08-01 16:01</t>
  </si>
  <si>
    <t xml:space="preserve">10013221</t>
  </si>
  <si>
    <t xml:space="preserve">Jim Seiders</t>
  </si>
  <si>
    <t xml:space="preserve">2026-08-01 17:26</t>
  </si>
  <si>
    <t xml:space="preserve">10013222</t>
  </si>
  <si>
    <t xml:space="preserve">John Alsbrooks</t>
  </si>
  <si>
    <t xml:space="preserve">Repeat contact - 1st of 2</t>
  </si>
  <si>
    <t xml:space="preserve">2026-08-01 18:27</t>
  </si>
  <si>
    <t xml:space="preserve">10013223</t>
  </si>
  <si>
    <t xml:space="preserve">Repeat contact - 3rd of 3 same-day tickets from this customer</t>
  </si>
  <si>
    <t xml:space="preserve">2026-08-01 18:36</t>
  </si>
  <si>
    <t xml:space="preserve">10013224</t>
  </si>
  <si>
    <t xml:space="preserve">Repeat contact - 2nd of 2; business account</t>
  </si>
  <si>
    <t xml:space="preserve">2026-08-01 20:40</t>
  </si>
  <si>
    <t xml:space="preserve">10013225</t>
  </si>
  <si>
    <t xml:space="preserve">Jennifer James</t>
  </si>
  <si>
    <t xml:space="preserve">2026-08-02 13:43</t>
  </si>
  <si>
    <t xml:space="preserve">10013226</t>
  </si>
  <si>
    <t xml:space="preserve">Melissa Hussel</t>
  </si>
  <si>
    <t xml:space="preserve">Repeat contact - 1st of 2, same day</t>
  </si>
  <si>
    <t xml:space="preserve">2026-08-02 14:05</t>
  </si>
  <si>
    <t xml:space="preserve">10013227</t>
  </si>
  <si>
    <t xml:space="preserve">Repeat contact - 2nd of 2, ~20 min later, escalated to full outage (OT)</t>
  </si>
  <si>
    <t xml:space="preserve">2026-08-02 17:03</t>
  </si>
  <si>
    <t xml:space="preserve">10013228</t>
  </si>
  <si>
    <t xml:space="preserve">Kevin &amp; Joy Nowell</t>
  </si>
  <si>
    <t xml:space="preserve">2026-08-02 21:13</t>
  </si>
  <si>
    <t xml:space="preserve">10013230</t>
  </si>
  <si>
    <t xml:space="preserve">Garrett Richardson</t>
  </si>
  <si>
    <t xml:space="preserve">Full outage flag (OT) despite setup category</t>
  </si>
  <si>
    <t xml:space="preserve">2026-08-03 12:37</t>
  </si>
  <si>
    <t xml:space="preserve">10013231</t>
  </si>
  <si>
    <t xml:space="preserve">Michael J Urban</t>
  </si>
  <si>
    <t xml:space="preserve">Customer has a second house nearby wanting to be networked to the first; scheduled tech (Tom) to finish the job 8/6</t>
  </si>
  <si>
    <t xml:space="preserve">2026-08-03 15:14</t>
  </si>
  <si>
    <t xml:space="preserve">10013234</t>
  </si>
  <si>
    <t xml:space="preserve">Mike Howard</t>
  </si>
  <si>
    <t xml:space="preserve">Sending Tom</t>
  </si>
  <si>
    <t xml:space="preserve">2026-08-03 15:18</t>
  </si>
  <si>
    <t xml:space="preserve">10013235</t>
  </si>
  <si>
    <t xml:space="preserve">Terri Gibson</t>
  </si>
  <si>
    <t xml:space="preserve">2026-08-03 18:21</t>
  </si>
  <si>
    <t xml:space="preserve">10013236</t>
  </si>
  <si>
    <t xml:space="preserve">Repeat contact - 2nd of 2</t>
  </si>
  <si>
    <t xml:space="preserve">2026-08-03 19:05</t>
  </si>
  <si>
    <t xml:space="preserve">10013237</t>
  </si>
  <si>
    <t xml:space="preserve">Judy Stovall</t>
  </si>
  <si>
    <t xml:space="preserve">2026-08-04 01:01</t>
  </si>
  <si>
    <t xml:space="preserve">10013238</t>
  </si>
  <si>
    <t xml:space="preserve">Kennith Perry</t>
  </si>
  <si>
    <t xml:space="preserve">2026-08-04 14:16</t>
  </si>
  <si>
    <t xml:space="preserve">10013239</t>
  </si>
  <si>
    <t xml:space="preserve">Rochelle</t>
  </si>
  <si>
    <t xml:space="preserve">Viola S Luttrell</t>
  </si>
  <si>
    <t xml:space="preserve">Sending Ethan</t>
  </si>
  <si>
    <t xml:space="preserve">2026-08-04 14:26</t>
  </si>
  <si>
    <t xml:space="preserve">10013240</t>
  </si>
  <si>
    <t xml:space="preserve">2026-08-04 19:54</t>
  </si>
  <si>
    <t xml:space="preserve">10013245</t>
  </si>
  <si>
    <t xml:space="preserve">Tommy J Hall</t>
  </si>
  <si>
    <t xml:space="preserve">2026-08-04 20:47</t>
  </si>
  <si>
    <t xml:space="preserve">10013246</t>
  </si>
  <si>
    <t xml:space="preserve">Keith Dwayne Boykin</t>
  </si>
  <si>
    <t xml:space="preserve">2026-08-04 21:07</t>
  </si>
  <si>
    <t xml:space="preserve">10013247</t>
  </si>
  <si>
    <t xml:space="preserve">Repeat contact - 2nd of 2, ~1 week apart; full outage (OT)</t>
  </si>
  <si>
    <t xml:space="preserve">2026-08-05 02:27</t>
  </si>
  <si>
    <t xml:space="preserve">10013248</t>
  </si>
  <si>
    <t xml:space="preserve">Bruce Middleton</t>
  </si>
  <si>
    <t xml:space="preserve">Ray spoke with customer; wants a truck roll the next day</t>
  </si>
  <si>
    <t xml:space="preserve">2026-08-05 11:36</t>
  </si>
  <si>
    <t xml:space="preserve">10013249</t>
  </si>
  <si>
    <t xml:space="preserve">Sagenet LLC</t>
  </si>
  <si>
    <t xml:space="preserve">2026-08-05 14:50</t>
  </si>
  <si>
    <t xml:space="preserve">10013250</t>
  </si>
  <si>
    <t xml:space="preserve">Aidan &amp; Madison Dowell</t>
  </si>
  <si>
    <t xml:space="preserve">2026-08-05 15:55</t>
  </si>
  <si>
    <t xml:space="preserve">10013252</t>
  </si>
  <si>
    <t xml:space="preserve">David Hulme</t>
  </si>
  <si>
    <t xml:space="preserve">2026-08-05 16:14</t>
  </si>
  <si>
    <t xml:space="preserve">10013253</t>
  </si>
  <si>
    <t xml:space="preserve">Jama Cutbirth</t>
  </si>
  <si>
    <t xml:space="preserve">2026-08-05 19:39</t>
  </si>
  <si>
    <t xml:space="preserve">10013254</t>
  </si>
  <si>
    <t xml:space="preserve">Bobbye Cheryl Smith</t>
  </si>
  <si>
    <t xml:space="preserve">2026-08-05 21:40</t>
  </si>
  <si>
    <t xml:space="preserve">10013255</t>
  </si>
  <si>
    <t xml:space="preserve">Craig Brooks</t>
  </si>
  <si>
    <t xml:space="preserve">2026-08-05 22:10</t>
  </si>
  <si>
    <t xml:space="preserve">10013256</t>
  </si>
  <si>
    <t xml:space="preserve">Patricia A Hansen</t>
  </si>
  <si>
    <t xml:space="preserve">Flagged internally as "resolved but esc for review"; agent reset the ONT on a follow-up call and it did not come back online; sending Install &amp; Repair</t>
  </si>
  <si>
    <t xml:space="preserve">Repeat contact - 1st of 2, 2 days apart; full outage (OT); data-quality flag: system marked Resolved while notes said escalate for review</t>
  </si>
  <si>
    <t xml:space="preserve">2026-08-06 04:18</t>
  </si>
  <si>
    <t xml:space="preserve">10013258</t>
  </si>
  <si>
    <t xml:space="preserve">Rigo Esquivel</t>
  </si>
  <si>
    <t xml:space="preserve">Signal at 30% strength; needs a range extender; customer balked at the price and will call back if they reconsider</t>
  </si>
  <si>
    <t xml:space="preserve">Multi-reply thread bounced between three staff before resolution - a good example of the routing gap noted in the reporting review</t>
  </si>
  <si>
    <t xml:space="preserve">2026-08-06 14:40</t>
  </si>
  <si>
    <t xml:space="preserve">10013259</t>
  </si>
  <si>
    <t xml:space="preserve">Lindsey Newhouse</t>
  </si>
  <si>
    <t xml:space="preserve">2026-08-06 16:03</t>
  </si>
  <si>
    <t xml:space="preserve">10013260</t>
  </si>
  <si>
    <t xml:space="preserve">Therese Emert</t>
  </si>
  <si>
    <t xml:space="preserve">2026-08-06 17:17</t>
  </si>
  <si>
    <t xml:space="preserve">10013261</t>
  </si>
  <si>
    <t xml:space="preserve">Jack Howard Henson</t>
  </si>
  <si>
    <t xml:space="preserve">2026-08-06 18:11</t>
  </si>
  <si>
    <t xml:space="preserve">10013262</t>
  </si>
  <si>
    <t xml:space="preserve">Rory Shawn Oliver</t>
  </si>
  <si>
    <t xml:space="preserve">2026-08-06 18:23</t>
  </si>
  <si>
    <t xml:space="preserve">10013263</t>
  </si>
  <si>
    <t xml:space="preserve">Glenda Ranne</t>
  </si>
  <si>
    <t xml:space="preserve">2026-08-06 20:06</t>
  </si>
  <si>
    <t xml:space="preserve">10013264</t>
  </si>
  <si>
    <t xml:space="preserve">Osborne Linguist</t>
  </si>
  <si>
    <t xml:space="preserve">2026-08-06 20:21</t>
  </si>
  <si>
    <t xml:space="preserve">10013265</t>
  </si>
  <si>
    <t xml:space="preserve">Sue Broyles</t>
  </si>
  <si>
    <t xml:space="preserve">Repeat contact - 1st of 2, next-day repeat below</t>
  </si>
  <si>
    <t xml:space="preserve">2026-08-06 22:13</t>
  </si>
  <si>
    <t xml:space="preserve">10013266</t>
  </si>
  <si>
    <t xml:space="preserve">Drew &amp; Lauren Goins</t>
  </si>
  <si>
    <t xml:space="preserve">2026-08-06 22:20</t>
  </si>
  <si>
    <t xml:space="preserve">10013267</t>
  </si>
  <si>
    <t xml:space="preserve">Jarvis Wright</t>
  </si>
  <si>
    <t xml:space="preserve">2026-08-07 13:46</t>
  </si>
  <si>
    <t xml:space="preserve">10013268</t>
  </si>
  <si>
    <t xml:space="preserve">Jack Fountain</t>
  </si>
  <si>
    <t xml:space="preserve">2026-08-07 15:43</t>
  </si>
  <si>
    <t xml:space="preserve">10013269</t>
  </si>
  <si>
    <t xml:space="preserve">Ronald &amp; Elsie Klein</t>
  </si>
  <si>
    <t xml:space="preserve">2026-08-07 17:54</t>
  </si>
  <si>
    <t xml:space="preserve">10013270</t>
  </si>
  <si>
    <t xml:space="preserve">John &amp; Lorna Woolever</t>
  </si>
  <si>
    <t xml:space="preserve">2026-08-07 18:09</t>
  </si>
  <si>
    <t xml:space="preserve">10013271</t>
  </si>
  <si>
    <t xml:space="preserve">Jackie Chesnutt</t>
  </si>
  <si>
    <t xml:space="preserve">2026-08-07 19:14</t>
  </si>
  <si>
    <t xml:space="preserve">10013272</t>
  </si>
  <si>
    <t xml:space="preserve">Repeat contact - 2nd of 2, 2 days after escalated outage above; full outage (OT)</t>
  </si>
  <si>
    <t xml:space="preserve">2026-08-07 20:03</t>
  </si>
  <si>
    <t xml:space="preserve">10013273</t>
  </si>
  <si>
    <t xml:space="preserve">Repeat contact - 2nd of 2, next day</t>
  </si>
  <si>
    <t xml:space="preserve">Quick wins - immediate rollout</t>
  </si>
  <si>
    <t xml:space="preserve">Low-cost / no-new-tooling actions that can start this week, based on the ticket analytics on the other tabs.</t>
  </si>
  <si>
    <t xml:space="preserve">Action</t>
  </si>
  <si>
    <t xml:space="preserve">Why it matters</t>
  </si>
  <si>
    <t xml:space="preserve">Suggested owner</t>
  </si>
  <si>
    <t xml:space="preserve">Effort</t>
  </si>
  <si>
    <t xml:space="preserve">Target</t>
  </si>
  <si>
    <t xml:space="preserve">Send a customer-wide alert about the fake "scheduled maintenance" email</t>
  </si>
  <si>
    <t xml:space="preserve">2 of 18 tickets in one day show confirmed credential compromise from this exact phishing email impersonating CTTC. This is active and spreading now.</t>
  </si>
  <si>
    <t xml:space="preserve">Marketing / Customer Service</t>
  </si>
  <si>
    <t xml:space="preserve">Today</t>
  </si>
  <si>
    <t xml:space="preserve">Not started</t>
  </si>
  <si>
    <t xml:space="preserve">Add an intake rule: agents check a Security/Phishing box on every ticket</t>
  </si>
  <si>
    <t xml:space="preserve">Right now phishing incidents are invisible in the ticket system - they only surface if someone reads every note. A single checkbox makes them reportable.</t>
  </si>
  <si>
    <t xml:space="preserve">I&amp;R Lead</t>
  </si>
  <si>
    <t xml:space="preserve">This week</t>
  </si>
  <si>
    <t xml:space="preserve">Apply Tim's March ticket-prioritization framework as a manual daily triage</t>
  </si>
  <si>
    <t xml:space="preserve">Every ticket in the system is logged as "Medium" priority regardless of severity, so nothing is actually being triaged today.</t>
  </si>
  <si>
    <t xml:space="preserve">Dispatch Lead</t>
  </si>
  <si>
    <t xml:space="preserve">Require a valid contact email at ticket intake</t>
  </si>
  <si>
    <t xml:space="preserve">Many tickets show placeholder emails (NA@NA.com, blank, "."), which blocks any future CSAT survey or automated follow-up.</t>
  </si>
  <si>
    <t xml:space="preserve">Start a same-day "aging escalations" check each morning</t>
  </si>
  <si>
    <t xml:space="preserve">Dispatcher acknowledgment is actually fast (5-20 min), but on-site fixes can take days; nothing currently flags an escalation that's been open too long.</t>
  </si>
  <si>
    <t xml:space="preserve">Flag repeat contacts (same customer, &lt;48 hrs) for a callback/quality check</t>
  </si>
  <si>
    <t xml:space="preserve">Keith Shahan contacted support twice in one day (email issue, then internet issue) - repeat contacts often mean the first fix didn't hold.</t>
  </si>
  <si>
    <t xml:space="preserve">Customer Service</t>
  </si>
  <si>
    <t xml:space="preserve">Log the ISPN escalation ID against the original API ticket # (this tracker)</t>
  </si>
  <si>
    <t xml:space="preserve">The two ticket-numbering systems are currently only cross-referenced inside free-text agent notes, making it impossible to measure escalation-to-resolution time.</t>
  </si>
  <si>
    <t xml:space="preserve">Tim / Ricky</t>
  </si>
  <si>
    <t xml:space="preserve">Ongoing</t>
  </si>
  <si>
    <t xml:space="preserve">In Progress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</si>
</sst>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44677"/>
      <name val="Montserrat"/>
      <family val="0"/>
      <charset val="1"/>
    </font>
    <font>
      <i val="true"/>
      <sz val="9"/>
      <color rgb="FF5F5F5F"/>
      <name val="Roboto"/>
      <family val="0"/>
      <charset val="1"/>
    </font>
    <font>
      <b val="true"/>
      <sz val="10"/>
      <color rgb="FF181C1F"/>
      <name val="Montserrat"/>
      <family val="0"/>
      <charset val="1"/>
    </font>
    <font>
      <b val="true"/>
      <sz val="14"/>
      <color rgb="FF3E5F90"/>
      <name val="Montserrat"/>
      <family val="0"/>
      <charset val="1"/>
    </font>
    <font>
      <b val="true"/>
      <sz val="12"/>
      <color rgb="FF244677"/>
      <name val="Montserrat"/>
      <family val="0"/>
      <charset val="1"/>
    </font>
    <font>
      <sz val="10"/>
      <name val="Roboto"/>
      <family val="0"/>
      <charset val="1"/>
    </font>
    <font>
      <b val="true"/>
      <sz val="11"/>
      <color rgb="FFFFFFFF"/>
      <name val="Montserrat"/>
      <family val="0"/>
      <charset val="1"/>
    </font>
    <font>
      <sz val="10"/>
      <color rgb="FF3B6D11"/>
      <name val="Roboto"/>
      <family val="0"/>
      <charset val="1"/>
    </font>
    <font>
      <b val="true"/>
      <sz val="10"/>
      <color rgb="FF8A5A00"/>
      <name val="Roboto"/>
      <family val="0"/>
      <charset val="1"/>
    </font>
    <font>
      <b val="true"/>
      <sz val="10"/>
      <color rgb="FF8C1F1F"/>
      <name val="Roboto"/>
      <family val="0"/>
      <charset val="1"/>
    </font>
    <font>
      <sz val="10"/>
      <color rgb="FF5F5F5F"/>
      <name val="Roboto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DEDF4"/>
        <bgColor rgb="FFF2F2F2"/>
      </patternFill>
    </fill>
    <fill>
      <patternFill patternType="solid">
        <fgColor rgb="FFF8F8FF"/>
        <bgColor rgb="FFFFFFFF"/>
      </patternFill>
    </fill>
    <fill>
      <patternFill patternType="solid">
        <fgColor rgb="FF3E5F90"/>
        <bgColor rgb="FF5F5F5F"/>
      </patternFill>
    </fill>
    <fill>
      <patternFill patternType="solid">
        <fgColor rgb="FFEAF3DE"/>
        <bgColor rgb="FFF2F2F2"/>
      </patternFill>
    </fill>
    <fill>
      <patternFill patternType="solid">
        <fgColor rgb="FFFFF1DA"/>
        <bgColor rgb="FFF2F2F2"/>
      </patternFill>
    </fill>
    <fill>
      <patternFill patternType="solid">
        <fgColor rgb="FFFBE1E1"/>
        <bgColor rgb="FFFFF1DA"/>
      </patternFill>
    </fill>
    <fill>
      <patternFill patternType="solid">
        <fgColor rgb="FFF2F2F2"/>
        <bgColor rgb="FFEDED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A5A00"/>
      <rgbColor rgb="FF800080"/>
      <rgbColor rgb="FF008080"/>
      <rgbColor rgb="FFCCCCCC"/>
      <rgbColor rgb="FF808080"/>
      <rgbColor rgb="FF9999FF"/>
      <rgbColor rgb="FF993366"/>
      <rgbColor rgb="FFFFF1DA"/>
      <rgbColor rgb="FFED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AF3DE"/>
      <rgbColor rgb="FFF8F8FF"/>
      <rgbColor rgb="FF99CCFF"/>
      <rgbColor rgb="FFFF99CC"/>
      <rgbColor rgb="FFCC99FF"/>
      <rgbColor rgb="FFFBE1E1"/>
      <rgbColor rgb="FF3E5F90"/>
      <rgbColor rgb="FF33CCCC"/>
      <rgbColor rgb="FF99CC00"/>
      <rgbColor rgb="FFFFCC00"/>
      <rgbColor rgb="FFFF9900"/>
      <rgbColor rgb="FFFF6600"/>
      <rgbColor rgb="FF5F5F5F"/>
      <rgbColor rgb="FF969696"/>
      <rgbColor rgb="FF003366"/>
      <rgbColor rgb="FF339966"/>
      <rgbColor rgb="FF003300"/>
      <rgbColor rgb="FF333300"/>
      <rgbColor rgb="FF8C1F1F"/>
      <rgbColor rgb="FF993366"/>
      <rgbColor rgb="FF244677"/>
      <rgbColor rgb="FF181C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75"/>
    <col collapsed="false" customWidth="true" hidden="false" outlineLevel="0" max="8" min="2" style="1" width="22"/>
  </cols>
  <sheetData>
    <row r="2" customFormat="false" ht="24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30" hidden="false" customHeight="true" outlineLevel="0" collapsed="false">
      <c r="B5" s="4" t="s">
        <v>2</v>
      </c>
      <c r="C5" s="4" t="s">
        <v>3</v>
      </c>
      <c r="D5" s="4" t="s">
        <v>4</v>
      </c>
      <c r="E5" s="4" t="s">
        <v>5</v>
      </c>
    </row>
    <row r="6" customFormat="false" ht="17.25" hidden="false" customHeight="true" outlineLevel="0" collapsed="false">
      <c r="B6" s="5" t="n">
        <f aca="false">COUNTA('Ticket Log'!C6:C205)</f>
        <v>141</v>
      </c>
      <c r="C6" s="5" t="n">
        <f aca="false">COUNTIF('Ticket Log'!I6:I205,"Open")+COUNTIF('Ticket Log'!I6:I205,"Escalated")</f>
        <v>18</v>
      </c>
      <c r="D6" s="5" t="n">
        <f aca="false">COUNTIF('Ticket Log'!I6:I205,"Resolved")</f>
        <v>20</v>
      </c>
      <c r="E6" s="5" t="n">
        <f aca="false">COUNTIF('Ticket Log'!H6:H205,"Y")</f>
        <v>6</v>
      </c>
    </row>
    <row r="8" customFormat="false" ht="30" hidden="false" customHeight="true" outlineLevel="0" collapsed="false">
      <c r="B8" s="4" t="s">
        <v>6</v>
      </c>
      <c r="C8" s="4" t="s">
        <v>7</v>
      </c>
      <c r="D8" s="4" t="s">
        <v>8</v>
      </c>
      <c r="E8" s="4" t="s">
        <v>9</v>
      </c>
    </row>
    <row r="9" customFormat="false" ht="17.25" hidden="false" customHeight="true" outlineLevel="0" collapsed="false">
      <c r="B9" s="5" t="n">
        <f aca="false">IFERROR((COUNTIF('Ticket Log'!I6:I205,"Open")+COUNTIF('Ticket Log'!I6:I205,"Escalated"))/COUNTA('Ticket Log'!C6:C205),0)</f>
        <v>0.127659574468085</v>
      </c>
      <c r="C9" s="6" t="n">
        <f aca="false">IFERROR(COUNTIF('Ticket Log'!J6:J205,"No Problem Found*")/COUNTIF('Ticket Log'!I6:I205,"Resolved"),0)</f>
        <v>0.25</v>
      </c>
      <c r="D9" s="6" t="n">
        <f aca="false">COUNTIF('Ticket Log'!M6:M205,"*repeat contact*")</f>
        <v>42</v>
      </c>
      <c r="E9" s="5" t="n">
        <f aca="false">COUNTIF('Quick Wins'!G6:G20,"In Progress")</f>
        <v>1</v>
      </c>
    </row>
    <row r="12" customFormat="false" ht="15" hidden="false" customHeight="true" outlineLevel="0" collapsed="false">
      <c r="B12" s="7" t="s">
        <v>10</v>
      </c>
      <c r="C12" s="7"/>
      <c r="D12" s="7"/>
      <c r="E12" s="7"/>
      <c r="F12" s="7"/>
      <c r="G12" s="7"/>
      <c r="H12" s="7"/>
    </row>
    <row r="13" customFormat="false" ht="15" hidden="false" customHeight="true" outlineLevel="0" collapsed="false">
      <c r="B13" s="8" t="s">
        <v>11</v>
      </c>
      <c r="C13" s="8"/>
      <c r="D13" s="8"/>
      <c r="E13" s="8"/>
      <c r="F13" s="8"/>
      <c r="G13" s="8"/>
      <c r="H13" s="8"/>
    </row>
    <row r="14" customFormat="false" ht="15" hidden="false" customHeight="true" outlineLevel="0" collapsed="false">
      <c r="B14" s="8" t="s">
        <v>12</v>
      </c>
      <c r="C14" s="8"/>
      <c r="D14" s="8"/>
      <c r="E14" s="8"/>
      <c r="F14" s="8"/>
      <c r="G14" s="8"/>
      <c r="H14" s="8"/>
    </row>
    <row r="15" customFormat="false" ht="15" hidden="false" customHeight="true" outlineLevel="0" collapsed="false">
      <c r="B15" s="8" t="s">
        <v>13</v>
      </c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B16" s="8" t="s">
        <v>14</v>
      </c>
      <c r="C16" s="8"/>
      <c r="D16" s="8"/>
      <c r="E16" s="8"/>
      <c r="F16" s="8"/>
      <c r="G16" s="8"/>
      <c r="H16" s="8"/>
    </row>
    <row r="17" customFormat="false" ht="15" hidden="false" customHeight="true" outlineLevel="0" collapsed="false">
      <c r="B17" s="8" t="s">
        <v>15</v>
      </c>
      <c r="C17" s="8"/>
      <c r="D17" s="8"/>
      <c r="E17" s="8"/>
      <c r="F17" s="8"/>
      <c r="G17" s="8"/>
      <c r="H17" s="8"/>
    </row>
  </sheetData>
  <mergeCells count="8">
    <mergeCell ref="B2:H2"/>
    <mergeCell ref="B3:H3"/>
    <mergeCell ref="B12:H12"/>
    <mergeCell ref="B13:H13"/>
    <mergeCell ref="B14:H14"/>
    <mergeCell ref="B15:H15"/>
    <mergeCell ref="B16:H16"/>
    <mergeCell ref="B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75"/>
    <col collapsed="false" customWidth="true" hidden="false" outlineLevel="0" max="4" min="2" style="1" width="12"/>
    <col collapsed="false" customWidth="true" hidden="false" outlineLevel="0" max="5" min="5" style="1" width="15"/>
    <col collapsed="false" customWidth="true" hidden="false" outlineLevel="0" max="6" min="6" style="1" width="20"/>
    <col collapsed="false" customWidth="true" hidden="false" outlineLevel="0" max="7" min="7" style="1" width="18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22"/>
    <col collapsed="false" customWidth="true" hidden="false" outlineLevel="0" max="11" min="11" style="1" width="14"/>
    <col collapsed="false" customWidth="true" hidden="false" outlineLevel="0" max="12" min="12" style="1" width="30"/>
    <col collapsed="false" customWidth="true" hidden="false" outlineLevel="0" max="13" min="13" style="1" width="40"/>
  </cols>
  <sheetData>
    <row r="2" customFormat="false" ht="24" hidden="false" customHeight="true" outlineLevel="0" collapsed="false">
      <c r="B2" s="2" t="s">
        <v>16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true" outlineLevel="0" collapsed="false">
      <c r="B3" s="3" t="s">
        <v>17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customFormat="false" ht="30" hidden="false" customHeight="true" outlineLevel="0" collapsed="false">
      <c r="B5" s="9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9" t="s">
        <v>23</v>
      </c>
      <c r="H5" s="9" t="s">
        <v>24</v>
      </c>
      <c r="I5" s="9" t="s">
        <v>25</v>
      </c>
      <c r="J5" s="9" t="s">
        <v>26</v>
      </c>
      <c r="K5" s="9" t="s">
        <v>27</v>
      </c>
      <c r="L5" s="9" t="s">
        <v>28</v>
      </c>
      <c r="M5" s="9" t="s">
        <v>29</v>
      </c>
    </row>
    <row r="6" customFormat="false" ht="31.5" hidden="false" customHeight="true" outlineLevel="0" collapsed="false">
      <c r="B6" s="10" t="s">
        <v>30</v>
      </c>
      <c r="C6" s="10" t="s">
        <v>31</v>
      </c>
      <c r="D6" s="10"/>
      <c r="E6" s="10" t="s">
        <v>32</v>
      </c>
      <c r="F6" s="10" t="s">
        <v>33</v>
      </c>
      <c r="G6" s="10" t="s">
        <v>34</v>
      </c>
      <c r="H6" s="10" t="s">
        <v>35</v>
      </c>
      <c r="I6" s="11" t="s">
        <v>4</v>
      </c>
      <c r="J6" s="10" t="s">
        <v>36</v>
      </c>
      <c r="K6" s="12" t="s">
        <v>37</v>
      </c>
      <c r="L6" s="10" t="s">
        <v>38</v>
      </c>
      <c r="M6" s="10"/>
    </row>
    <row r="7" customFormat="false" ht="31.5" hidden="false" customHeight="true" outlineLevel="0" collapsed="false">
      <c r="B7" s="10" t="s">
        <v>39</v>
      </c>
      <c r="C7" s="10" t="s">
        <v>40</v>
      </c>
      <c r="D7" s="10" t="s">
        <v>41</v>
      </c>
      <c r="E7" s="10" t="s">
        <v>42</v>
      </c>
      <c r="F7" s="10" t="s">
        <v>43</v>
      </c>
      <c r="G7" s="10" t="s">
        <v>44</v>
      </c>
      <c r="H7" s="10" t="s">
        <v>35</v>
      </c>
      <c r="I7" s="13" t="s">
        <v>45</v>
      </c>
      <c r="J7" s="10" t="s">
        <v>46</v>
      </c>
      <c r="K7" s="12" t="s">
        <v>37</v>
      </c>
      <c r="L7" s="10" t="s">
        <v>37</v>
      </c>
      <c r="M7" s="10" t="s">
        <v>47</v>
      </c>
    </row>
    <row r="8" customFormat="false" ht="31.5" hidden="false" customHeight="true" outlineLevel="0" collapsed="false">
      <c r="B8" s="10" t="s">
        <v>48</v>
      </c>
      <c r="C8" s="10" t="s">
        <v>49</v>
      </c>
      <c r="D8" s="10"/>
      <c r="E8" s="10" t="s">
        <v>50</v>
      </c>
      <c r="F8" s="10" t="s">
        <v>51</v>
      </c>
      <c r="G8" s="10" t="s">
        <v>52</v>
      </c>
      <c r="H8" s="14" t="s">
        <v>53</v>
      </c>
      <c r="I8" s="11" t="s">
        <v>4</v>
      </c>
      <c r="J8" s="10" t="s">
        <v>54</v>
      </c>
      <c r="K8" s="13" t="s">
        <v>37</v>
      </c>
      <c r="L8" s="10" t="s">
        <v>55</v>
      </c>
      <c r="M8" s="10" t="s">
        <v>56</v>
      </c>
    </row>
    <row r="9" customFormat="false" ht="31.5" hidden="false" customHeight="true" outlineLevel="0" collapsed="false">
      <c r="B9" s="10" t="s">
        <v>57</v>
      </c>
      <c r="C9" s="10" t="s">
        <v>58</v>
      </c>
      <c r="D9" s="10"/>
      <c r="E9" s="10" t="s">
        <v>59</v>
      </c>
      <c r="F9" s="10" t="s">
        <v>60</v>
      </c>
      <c r="G9" s="10" t="s">
        <v>52</v>
      </c>
      <c r="H9" s="10" t="s">
        <v>35</v>
      </c>
      <c r="I9" s="11" t="s">
        <v>4</v>
      </c>
      <c r="J9" s="10" t="s">
        <v>61</v>
      </c>
      <c r="K9" s="12" t="s">
        <v>37</v>
      </c>
      <c r="L9" s="10" t="s">
        <v>37</v>
      </c>
      <c r="M9" s="10" t="s">
        <v>62</v>
      </c>
    </row>
    <row r="10" customFormat="false" ht="31.5" hidden="false" customHeight="true" outlineLevel="0" collapsed="false">
      <c r="B10" s="10" t="s">
        <v>63</v>
      </c>
      <c r="C10" s="10" t="s">
        <v>64</v>
      </c>
      <c r="D10" s="10"/>
      <c r="E10" s="10" t="s">
        <v>59</v>
      </c>
      <c r="F10" s="10" t="s">
        <v>65</v>
      </c>
      <c r="G10" s="10" t="s">
        <v>34</v>
      </c>
      <c r="H10" s="10" t="s">
        <v>35</v>
      </c>
      <c r="I10" s="11" t="s">
        <v>4</v>
      </c>
      <c r="J10" s="10" t="s">
        <v>66</v>
      </c>
      <c r="K10" s="12" t="s">
        <v>37</v>
      </c>
      <c r="L10" s="10" t="s">
        <v>38</v>
      </c>
      <c r="M10" s="10"/>
    </row>
    <row r="11" customFormat="false" ht="31.5" hidden="false" customHeight="true" outlineLevel="0" collapsed="false">
      <c r="B11" s="10" t="s">
        <v>67</v>
      </c>
      <c r="C11" s="10" t="s">
        <v>68</v>
      </c>
      <c r="D11" s="10" t="s">
        <v>69</v>
      </c>
      <c r="E11" s="10" t="s">
        <v>70</v>
      </c>
      <c r="F11" s="10" t="s">
        <v>71</v>
      </c>
      <c r="G11" s="10" t="s">
        <v>72</v>
      </c>
      <c r="H11" s="10" t="s">
        <v>35</v>
      </c>
      <c r="I11" s="13" t="s">
        <v>45</v>
      </c>
      <c r="J11" s="10" t="s">
        <v>73</v>
      </c>
      <c r="K11" s="13" t="s">
        <v>37</v>
      </c>
      <c r="L11" s="10" t="s">
        <v>55</v>
      </c>
      <c r="M11" s="10" t="s">
        <v>74</v>
      </c>
    </row>
    <row r="12" customFormat="false" ht="31.5" hidden="false" customHeight="true" outlineLevel="0" collapsed="false">
      <c r="B12" s="10" t="s">
        <v>75</v>
      </c>
      <c r="C12" s="10" t="s">
        <v>76</v>
      </c>
      <c r="D12" s="10"/>
      <c r="E12" s="10" t="s">
        <v>77</v>
      </c>
      <c r="F12" s="10" t="s">
        <v>78</v>
      </c>
      <c r="G12" s="10" t="s">
        <v>52</v>
      </c>
      <c r="H12" s="14" t="s">
        <v>53</v>
      </c>
      <c r="I12" s="11" t="s">
        <v>4</v>
      </c>
      <c r="J12" s="10" t="s">
        <v>79</v>
      </c>
      <c r="K12" s="12" t="s">
        <v>37</v>
      </c>
      <c r="L12" s="10" t="s">
        <v>37</v>
      </c>
      <c r="M12" s="10" t="s">
        <v>80</v>
      </c>
    </row>
    <row r="13" customFormat="false" ht="31.5" hidden="false" customHeight="true" outlineLevel="0" collapsed="false">
      <c r="B13" s="10" t="s">
        <v>81</v>
      </c>
      <c r="C13" s="10" t="s">
        <v>82</v>
      </c>
      <c r="D13" s="10"/>
      <c r="E13" s="10" t="s">
        <v>50</v>
      </c>
      <c r="F13" s="10" t="s">
        <v>83</v>
      </c>
      <c r="G13" s="10" t="s">
        <v>52</v>
      </c>
      <c r="H13" s="14" t="s">
        <v>53</v>
      </c>
      <c r="I13" s="11" t="s">
        <v>4</v>
      </c>
      <c r="J13" s="10" t="s">
        <v>84</v>
      </c>
      <c r="K13" s="13" t="s">
        <v>37</v>
      </c>
      <c r="L13" s="10" t="s">
        <v>55</v>
      </c>
      <c r="M13" s="10" t="s">
        <v>56</v>
      </c>
    </row>
    <row r="14" customFormat="false" ht="31.5" hidden="false" customHeight="true" outlineLevel="0" collapsed="false">
      <c r="B14" s="10" t="s">
        <v>85</v>
      </c>
      <c r="C14" s="10" t="s">
        <v>86</v>
      </c>
      <c r="D14" s="10"/>
      <c r="E14" s="10" t="s">
        <v>87</v>
      </c>
      <c r="F14" s="10" t="s">
        <v>88</v>
      </c>
      <c r="G14" s="10" t="s">
        <v>34</v>
      </c>
      <c r="H14" s="10" t="s">
        <v>35</v>
      </c>
      <c r="I14" s="11" t="s">
        <v>4</v>
      </c>
      <c r="J14" s="10" t="s">
        <v>89</v>
      </c>
      <c r="K14" s="12" t="s">
        <v>37</v>
      </c>
      <c r="L14" s="10" t="s">
        <v>38</v>
      </c>
      <c r="M14" s="10"/>
    </row>
    <row r="15" customFormat="false" ht="31.5" hidden="false" customHeight="true" outlineLevel="0" collapsed="false">
      <c r="B15" s="10" t="s">
        <v>90</v>
      </c>
      <c r="C15" s="10" t="s">
        <v>91</v>
      </c>
      <c r="D15" s="10"/>
      <c r="E15" s="10" t="s">
        <v>42</v>
      </c>
      <c r="F15" s="10" t="s">
        <v>92</v>
      </c>
      <c r="G15" s="10" t="s">
        <v>52</v>
      </c>
      <c r="H15" s="10" t="s">
        <v>35</v>
      </c>
      <c r="I15" s="11" t="s">
        <v>4</v>
      </c>
      <c r="J15" s="10" t="s">
        <v>93</v>
      </c>
      <c r="K15" s="12" t="s">
        <v>37</v>
      </c>
      <c r="L15" s="10" t="s">
        <v>38</v>
      </c>
      <c r="M15" s="10"/>
    </row>
    <row r="16" customFormat="false" ht="31.5" hidden="false" customHeight="true" outlineLevel="0" collapsed="false">
      <c r="B16" s="10" t="s">
        <v>94</v>
      </c>
      <c r="C16" s="10" t="s">
        <v>95</v>
      </c>
      <c r="D16" s="10"/>
      <c r="E16" s="10" t="s">
        <v>42</v>
      </c>
      <c r="F16" s="10" t="s">
        <v>96</v>
      </c>
      <c r="G16" s="10" t="s">
        <v>52</v>
      </c>
      <c r="H16" s="14" t="s">
        <v>53</v>
      </c>
      <c r="I16" s="11" t="s">
        <v>4</v>
      </c>
      <c r="J16" s="10" t="s">
        <v>97</v>
      </c>
      <c r="K16" s="14" t="s">
        <v>37</v>
      </c>
      <c r="L16" s="10" t="s">
        <v>98</v>
      </c>
      <c r="M16" s="10" t="s">
        <v>99</v>
      </c>
    </row>
    <row r="17" customFormat="false" ht="31.5" hidden="false" customHeight="true" outlineLevel="0" collapsed="false">
      <c r="B17" s="10" t="s">
        <v>100</v>
      </c>
      <c r="C17" s="10" t="s">
        <v>101</v>
      </c>
      <c r="D17" s="10"/>
      <c r="E17" s="10" t="s">
        <v>77</v>
      </c>
      <c r="F17" s="10" t="s">
        <v>102</v>
      </c>
      <c r="G17" s="10" t="s">
        <v>103</v>
      </c>
      <c r="H17" s="10" t="s">
        <v>35</v>
      </c>
      <c r="I17" s="11" t="s">
        <v>4</v>
      </c>
      <c r="J17" s="10" t="s">
        <v>104</v>
      </c>
      <c r="K17" s="12" t="s">
        <v>37</v>
      </c>
      <c r="L17" s="10" t="s">
        <v>37</v>
      </c>
      <c r="M17" s="10"/>
    </row>
    <row r="18" customFormat="false" ht="31.5" hidden="false" customHeight="true" outlineLevel="0" collapsed="false">
      <c r="B18" s="10" t="s">
        <v>105</v>
      </c>
      <c r="C18" s="10" t="s">
        <v>106</v>
      </c>
      <c r="D18" s="10" t="s">
        <v>107</v>
      </c>
      <c r="E18" s="10" t="s">
        <v>59</v>
      </c>
      <c r="F18" s="10" t="s">
        <v>108</v>
      </c>
      <c r="G18" s="10" t="s">
        <v>103</v>
      </c>
      <c r="H18" s="10" t="s">
        <v>35</v>
      </c>
      <c r="I18" s="13" t="s">
        <v>45</v>
      </c>
      <c r="J18" s="10" t="s">
        <v>109</v>
      </c>
      <c r="K18" s="12" t="s">
        <v>37</v>
      </c>
      <c r="L18" s="10" t="s">
        <v>37</v>
      </c>
      <c r="M18" s="10" t="s">
        <v>110</v>
      </c>
    </row>
    <row r="19" customFormat="false" ht="31.5" hidden="false" customHeight="true" outlineLevel="0" collapsed="false">
      <c r="B19" s="10" t="s">
        <v>111</v>
      </c>
      <c r="C19" s="10" t="s">
        <v>112</v>
      </c>
      <c r="D19" s="10" t="s">
        <v>113</v>
      </c>
      <c r="E19" s="10" t="s">
        <v>114</v>
      </c>
      <c r="F19" s="10" t="s">
        <v>115</v>
      </c>
      <c r="G19" s="10" t="s">
        <v>103</v>
      </c>
      <c r="H19" s="10" t="s">
        <v>35</v>
      </c>
      <c r="I19" s="13" t="s">
        <v>45</v>
      </c>
      <c r="J19" s="10" t="s">
        <v>116</v>
      </c>
      <c r="K19" s="12" t="s">
        <v>37</v>
      </c>
      <c r="L19" s="10" t="s">
        <v>37</v>
      </c>
      <c r="M19" s="10" t="s">
        <v>117</v>
      </c>
    </row>
    <row r="20" customFormat="false" ht="31.5" hidden="false" customHeight="true" outlineLevel="0" collapsed="false">
      <c r="B20" s="10" t="s">
        <v>118</v>
      </c>
      <c r="C20" s="10" t="s">
        <v>119</v>
      </c>
      <c r="D20" s="10" t="s">
        <v>120</v>
      </c>
      <c r="E20" s="10" t="s">
        <v>77</v>
      </c>
      <c r="F20" s="10" t="s">
        <v>121</v>
      </c>
      <c r="G20" s="10" t="s">
        <v>122</v>
      </c>
      <c r="H20" s="10" t="s">
        <v>35</v>
      </c>
      <c r="I20" s="13" t="s">
        <v>45</v>
      </c>
      <c r="J20" s="10" t="s">
        <v>123</v>
      </c>
      <c r="K20" s="13" t="s">
        <v>37</v>
      </c>
      <c r="L20" s="10" t="s">
        <v>55</v>
      </c>
      <c r="M20" s="10" t="s">
        <v>124</v>
      </c>
    </row>
    <row r="21" customFormat="false" ht="31.5" hidden="false" customHeight="true" outlineLevel="0" collapsed="false">
      <c r="B21" s="10" t="s">
        <v>125</v>
      </c>
      <c r="C21" s="10" t="s">
        <v>126</v>
      </c>
      <c r="D21" s="10"/>
      <c r="E21" s="10" t="s">
        <v>59</v>
      </c>
      <c r="F21" s="10" t="s">
        <v>60</v>
      </c>
      <c r="G21" s="10" t="s">
        <v>103</v>
      </c>
      <c r="H21" s="10" t="s">
        <v>35</v>
      </c>
      <c r="I21" s="11" t="s">
        <v>4</v>
      </c>
      <c r="J21" s="10" t="s">
        <v>127</v>
      </c>
      <c r="K21" s="12" t="s">
        <v>37</v>
      </c>
      <c r="L21" s="10" t="s">
        <v>37</v>
      </c>
      <c r="M21" s="10" t="s">
        <v>128</v>
      </c>
    </row>
    <row r="22" customFormat="false" ht="31.5" hidden="false" customHeight="true" outlineLevel="0" collapsed="false">
      <c r="B22" s="10" t="s">
        <v>129</v>
      </c>
      <c r="C22" s="10" t="s">
        <v>130</v>
      </c>
      <c r="D22" s="10"/>
      <c r="E22" s="10" t="s">
        <v>59</v>
      </c>
      <c r="F22" s="10" t="s">
        <v>131</v>
      </c>
      <c r="G22" s="10" t="s">
        <v>34</v>
      </c>
      <c r="H22" s="10" t="s">
        <v>35</v>
      </c>
      <c r="I22" s="11" t="s">
        <v>4</v>
      </c>
      <c r="J22" s="10" t="s">
        <v>132</v>
      </c>
      <c r="K22" s="12" t="s">
        <v>37</v>
      </c>
      <c r="L22" s="10" t="s">
        <v>38</v>
      </c>
      <c r="M22" s="10"/>
    </row>
    <row r="23" customFormat="false" ht="31.5" hidden="false" customHeight="true" outlineLevel="0" collapsed="false">
      <c r="B23" s="10" t="s">
        <v>133</v>
      </c>
      <c r="C23" s="10" t="s">
        <v>134</v>
      </c>
      <c r="D23" s="10"/>
      <c r="E23" s="10" t="s">
        <v>135</v>
      </c>
      <c r="F23" s="10" t="s">
        <v>136</v>
      </c>
      <c r="G23" s="10" t="s">
        <v>34</v>
      </c>
      <c r="H23" s="10" t="s">
        <v>35</v>
      </c>
      <c r="I23" s="11" t="s">
        <v>4</v>
      </c>
      <c r="J23" s="10" t="s">
        <v>137</v>
      </c>
      <c r="K23" s="12" t="s">
        <v>37</v>
      </c>
      <c r="L23" s="10" t="s">
        <v>38</v>
      </c>
      <c r="M23" s="10"/>
    </row>
    <row r="24" customFormat="false" ht="31.5" hidden="false" customHeight="true" outlineLevel="0" collapsed="false">
      <c r="B24" s="10" t="s">
        <v>138</v>
      </c>
      <c r="C24" s="10" t="s">
        <v>139</v>
      </c>
      <c r="D24" s="10"/>
      <c r="E24" s="10" t="s">
        <v>42</v>
      </c>
      <c r="F24" s="10" t="s">
        <v>140</v>
      </c>
      <c r="G24" s="10" t="s">
        <v>52</v>
      </c>
      <c r="H24" s="10" t="s">
        <v>35</v>
      </c>
      <c r="I24" s="15" t="s">
        <v>141</v>
      </c>
      <c r="J24" s="10" t="s">
        <v>142</v>
      </c>
      <c r="K24" s="12" t="s">
        <v>37</v>
      </c>
      <c r="L24" s="10" t="s">
        <v>38</v>
      </c>
      <c r="M24" s="10"/>
    </row>
    <row r="25" customFormat="false" ht="31.5" hidden="false" customHeight="true" outlineLevel="0" collapsed="false">
      <c r="B25" s="10" t="s">
        <v>143</v>
      </c>
      <c r="C25" s="10" t="s">
        <v>144</v>
      </c>
      <c r="D25" s="10"/>
      <c r="E25" s="10" t="s">
        <v>145</v>
      </c>
      <c r="F25" s="10" t="s">
        <v>146</v>
      </c>
      <c r="G25" s="10" t="s">
        <v>103</v>
      </c>
      <c r="H25" s="10" t="s">
        <v>35</v>
      </c>
      <c r="I25" s="11" t="s">
        <v>4</v>
      </c>
      <c r="J25" s="10" t="s">
        <v>147</v>
      </c>
      <c r="K25" s="12" t="s">
        <v>37</v>
      </c>
      <c r="L25" s="10" t="s">
        <v>38</v>
      </c>
      <c r="M25" s="10"/>
    </row>
    <row r="26" customFormat="false" ht="31.5" hidden="false" customHeight="true" outlineLevel="0" collapsed="false">
      <c r="B26" s="10" t="s">
        <v>148</v>
      </c>
      <c r="C26" s="10" t="s">
        <v>149</v>
      </c>
      <c r="D26" s="10"/>
      <c r="E26" s="10" t="s">
        <v>59</v>
      </c>
      <c r="F26" s="10" t="s">
        <v>150</v>
      </c>
      <c r="G26" s="10" t="s">
        <v>103</v>
      </c>
      <c r="H26" s="10" t="s">
        <v>35</v>
      </c>
      <c r="I26" s="13" t="s">
        <v>45</v>
      </c>
      <c r="J26" s="10" t="s">
        <v>151</v>
      </c>
      <c r="K26" s="12" t="s">
        <v>37</v>
      </c>
      <c r="L26" s="10" t="s">
        <v>37</v>
      </c>
      <c r="M26" s="10"/>
    </row>
    <row r="27" customFormat="false" ht="31.5" hidden="false" customHeight="true" outlineLevel="0" collapsed="false">
      <c r="B27" s="10" t="s">
        <v>152</v>
      </c>
      <c r="C27" s="10" t="s">
        <v>153</v>
      </c>
      <c r="D27" s="10"/>
      <c r="E27" s="10" t="s">
        <v>154</v>
      </c>
      <c r="F27" s="10" t="s">
        <v>155</v>
      </c>
      <c r="G27" s="10" t="s">
        <v>103</v>
      </c>
      <c r="H27" s="10" t="s">
        <v>35</v>
      </c>
      <c r="I27" s="15" t="s">
        <v>141</v>
      </c>
      <c r="J27" s="10" t="s">
        <v>142</v>
      </c>
      <c r="K27" s="12" t="s">
        <v>37</v>
      </c>
      <c r="L27" s="10" t="s">
        <v>37</v>
      </c>
      <c r="M27" s="10"/>
    </row>
    <row r="28" customFormat="false" ht="31.5" hidden="false" customHeight="true" outlineLevel="0" collapsed="false">
      <c r="B28" s="10" t="s">
        <v>156</v>
      </c>
      <c r="C28" s="10" t="s">
        <v>157</v>
      </c>
      <c r="D28" s="10"/>
      <c r="E28" s="10" t="s">
        <v>135</v>
      </c>
      <c r="F28" s="10" t="s">
        <v>158</v>
      </c>
      <c r="G28" s="10" t="s">
        <v>34</v>
      </c>
      <c r="H28" s="10" t="s">
        <v>35</v>
      </c>
      <c r="I28" s="15" t="s">
        <v>141</v>
      </c>
      <c r="J28" s="10" t="s">
        <v>142</v>
      </c>
      <c r="K28" s="12" t="s">
        <v>37</v>
      </c>
      <c r="L28" s="10" t="s">
        <v>38</v>
      </c>
      <c r="M28" s="10" t="s">
        <v>159</v>
      </c>
    </row>
    <row r="29" customFormat="false" ht="31.5" hidden="false" customHeight="true" outlineLevel="0" collapsed="false">
      <c r="B29" s="10" t="s">
        <v>160</v>
      </c>
      <c r="C29" s="10" t="s">
        <v>161</v>
      </c>
      <c r="D29" s="10"/>
      <c r="E29" s="10" t="s">
        <v>135</v>
      </c>
      <c r="F29" s="10" t="s">
        <v>158</v>
      </c>
      <c r="G29" s="10" t="s">
        <v>103</v>
      </c>
      <c r="H29" s="10" t="s">
        <v>35</v>
      </c>
      <c r="I29" s="15" t="s">
        <v>141</v>
      </c>
      <c r="J29" s="10" t="s">
        <v>142</v>
      </c>
      <c r="K29" s="12" t="s">
        <v>37</v>
      </c>
      <c r="L29" s="10" t="s">
        <v>37</v>
      </c>
      <c r="M29" s="10" t="s">
        <v>162</v>
      </c>
    </row>
    <row r="30" customFormat="false" ht="31.5" hidden="false" customHeight="true" outlineLevel="0" collapsed="false">
      <c r="B30" s="10" t="s">
        <v>163</v>
      </c>
      <c r="C30" s="10" t="s">
        <v>164</v>
      </c>
      <c r="D30" s="10"/>
      <c r="E30" s="10" t="s">
        <v>135</v>
      </c>
      <c r="F30" s="10" t="s">
        <v>158</v>
      </c>
      <c r="G30" s="10" t="s">
        <v>34</v>
      </c>
      <c r="H30" s="10" t="s">
        <v>35</v>
      </c>
      <c r="I30" s="15" t="s">
        <v>141</v>
      </c>
      <c r="J30" s="10" t="s">
        <v>142</v>
      </c>
      <c r="K30" s="12" t="s">
        <v>37</v>
      </c>
      <c r="L30" s="10" t="s">
        <v>38</v>
      </c>
      <c r="M30" s="10" t="s">
        <v>165</v>
      </c>
    </row>
    <row r="31" customFormat="false" ht="31.5" hidden="false" customHeight="true" outlineLevel="0" collapsed="false">
      <c r="B31" s="10" t="s">
        <v>166</v>
      </c>
      <c r="C31" s="10" t="s">
        <v>167</v>
      </c>
      <c r="D31" s="10"/>
      <c r="E31" s="10" t="s">
        <v>50</v>
      </c>
      <c r="F31" s="10" t="s">
        <v>168</v>
      </c>
      <c r="G31" s="10" t="s">
        <v>52</v>
      </c>
      <c r="H31" s="10" t="s">
        <v>35</v>
      </c>
      <c r="I31" s="15" t="s">
        <v>141</v>
      </c>
      <c r="J31" s="10" t="s">
        <v>142</v>
      </c>
      <c r="K31" s="12" t="s">
        <v>37</v>
      </c>
      <c r="L31" s="10" t="s">
        <v>38</v>
      </c>
      <c r="M31" s="10"/>
    </row>
    <row r="32" customFormat="false" ht="31.5" hidden="false" customHeight="true" outlineLevel="0" collapsed="false">
      <c r="B32" s="10" t="s">
        <v>169</v>
      </c>
      <c r="C32" s="10" t="s">
        <v>170</v>
      </c>
      <c r="D32" s="10"/>
      <c r="E32" s="10" t="s">
        <v>135</v>
      </c>
      <c r="F32" s="10" t="s">
        <v>171</v>
      </c>
      <c r="G32" s="10" t="s">
        <v>52</v>
      </c>
      <c r="H32" s="10" t="s">
        <v>35</v>
      </c>
      <c r="I32" s="15" t="s">
        <v>141</v>
      </c>
      <c r="J32" s="10" t="s">
        <v>142</v>
      </c>
      <c r="K32" s="12" t="s">
        <v>37</v>
      </c>
      <c r="L32" s="10" t="s">
        <v>38</v>
      </c>
      <c r="M32" s="10"/>
    </row>
    <row r="33" customFormat="false" ht="31.5" hidden="false" customHeight="true" outlineLevel="0" collapsed="false">
      <c r="B33" s="10" t="s">
        <v>172</v>
      </c>
      <c r="C33" s="10" t="s">
        <v>173</v>
      </c>
      <c r="D33" s="10"/>
      <c r="E33" s="10" t="s">
        <v>174</v>
      </c>
      <c r="F33" s="10" t="s">
        <v>175</v>
      </c>
      <c r="G33" s="10" t="s">
        <v>52</v>
      </c>
      <c r="H33" s="10" t="s">
        <v>35</v>
      </c>
      <c r="I33" s="15" t="s">
        <v>141</v>
      </c>
      <c r="J33" s="10" t="s">
        <v>142</v>
      </c>
      <c r="K33" s="12" t="s">
        <v>37</v>
      </c>
      <c r="L33" s="10" t="s">
        <v>38</v>
      </c>
      <c r="M33" s="10" t="s">
        <v>176</v>
      </c>
    </row>
    <row r="34" customFormat="false" ht="31.5" hidden="false" customHeight="true" outlineLevel="0" collapsed="false">
      <c r="B34" s="10" t="s">
        <v>177</v>
      </c>
      <c r="C34" s="10" t="s">
        <v>178</v>
      </c>
      <c r="D34" s="10"/>
      <c r="E34" s="10" t="s">
        <v>174</v>
      </c>
      <c r="F34" s="10" t="s">
        <v>175</v>
      </c>
      <c r="G34" s="10" t="s">
        <v>52</v>
      </c>
      <c r="H34" s="10" t="s">
        <v>35</v>
      </c>
      <c r="I34" s="15" t="s">
        <v>141</v>
      </c>
      <c r="J34" s="10" t="s">
        <v>142</v>
      </c>
      <c r="K34" s="12" t="s">
        <v>37</v>
      </c>
      <c r="L34" s="10" t="s">
        <v>38</v>
      </c>
      <c r="M34" s="10" t="s">
        <v>179</v>
      </c>
    </row>
    <row r="35" customFormat="false" ht="31.5" hidden="false" customHeight="true" outlineLevel="0" collapsed="false">
      <c r="B35" s="10" t="s">
        <v>180</v>
      </c>
      <c r="C35" s="10" t="s">
        <v>181</v>
      </c>
      <c r="D35" s="10"/>
      <c r="E35" s="10" t="s">
        <v>174</v>
      </c>
      <c r="F35" s="10" t="s">
        <v>175</v>
      </c>
      <c r="G35" s="10" t="s">
        <v>103</v>
      </c>
      <c r="H35" s="10" t="s">
        <v>35</v>
      </c>
      <c r="I35" s="15" t="s">
        <v>141</v>
      </c>
      <c r="J35" s="10" t="s">
        <v>142</v>
      </c>
      <c r="K35" s="12" t="s">
        <v>37</v>
      </c>
      <c r="L35" s="10" t="s">
        <v>37</v>
      </c>
      <c r="M35" s="10" t="s">
        <v>182</v>
      </c>
    </row>
    <row r="36" customFormat="false" ht="31.5" hidden="false" customHeight="true" outlineLevel="0" collapsed="false">
      <c r="B36" s="10" t="s">
        <v>183</v>
      </c>
      <c r="C36" s="10" t="s">
        <v>184</v>
      </c>
      <c r="D36" s="10"/>
      <c r="E36" s="10" t="s">
        <v>50</v>
      </c>
      <c r="F36" s="10" t="s">
        <v>185</v>
      </c>
      <c r="G36" s="10" t="s">
        <v>52</v>
      </c>
      <c r="H36" s="10" t="s">
        <v>35</v>
      </c>
      <c r="I36" s="15" t="s">
        <v>141</v>
      </c>
      <c r="J36" s="10" t="s">
        <v>142</v>
      </c>
      <c r="K36" s="12" t="s">
        <v>37</v>
      </c>
      <c r="L36" s="10" t="s">
        <v>38</v>
      </c>
      <c r="M36" s="10"/>
    </row>
    <row r="37" customFormat="false" ht="31.5" hidden="false" customHeight="true" outlineLevel="0" collapsed="false">
      <c r="B37" s="10" t="s">
        <v>186</v>
      </c>
      <c r="C37" s="10" t="s">
        <v>187</v>
      </c>
      <c r="D37" s="10"/>
      <c r="E37" s="10" t="s">
        <v>77</v>
      </c>
      <c r="F37" s="10" t="s">
        <v>188</v>
      </c>
      <c r="G37" s="10" t="s">
        <v>103</v>
      </c>
      <c r="H37" s="10" t="s">
        <v>35</v>
      </c>
      <c r="I37" s="15" t="s">
        <v>141</v>
      </c>
      <c r="J37" s="10" t="s">
        <v>142</v>
      </c>
      <c r="K37" s="12" t="s">
        <v>37</v>
      </c>
      <c r="L37" s="10" t="s">
        <v>37</v>
      </c>
      <c r="M37" s="10"/>
    </row>
    <row r="38" customFormat="false" ht="31.5" hidden="false" customHeight="true" outlineLevel="0" collapsed="false">
      <c r="B38" s="10" t="s">
        <v>189</v>
      </c>
      <c r="C38" s="10" t="s">
        <v>190</v>
      </c>
      <c r="D38" s="10"/>
      <c r="E38" s="10" t="s">
        <v>50</v>
      </c>
      <c r="F38" s="10" t="s">
        <v>191</v>
      </c>
      <c r="G38" s="10" t="s">
        <v>52</v>
      </c>
      <c r="H38" s="10" t="s">
        <v>35</v>
      </c>
      <c r="I38" s="15" t="s">
        <v>141</v>
      </c>
      <c r="J38" s="10" t="s">
        <v>142</v>
      </c>
      <c r="K38" s="12" t="s">
        <v>37</v>
      </c>
      <c r="L38" s="10" t="s">
        <v>38</v>
      </c>
      <c r="M38" s="10"/>
    </row>
    <row r="39" customFormat="false" ht="31.5" hidden="false" customHeight="true" outlineLevel="0" collapsed="false">
      <c r="B39" s="10" t="s">
        <v>192</v>
      </c>
      <c r="C39" s="10" t="s">
        <v>193</v>
      </c>
      <c r="D39" s="10"/>
      <c r="E39" s="10" t="s">
        <v>59</v>
      </c>
      <c r="F39" s="10" t="s">
        <v>108</v>
      </c>
      <c r="G39" s="10" t="s">
        <v>34</v>
      </c>
      <c r="H39" s="10" t="s">
        <v>35</v>
      </c>
      <c r="I39" s="15" t="s">
        <v>141</v>
      </c>
      <c r="J39" s="10" t="s">
        <v>142</v>
      </c>
      <c r="K39" s="12" t="s">
        <v>37</v>
      </c>
      <c r="L39" s="10" t="s">
        <v>37</v>
      </c>
      <c r="M39" s="10" t="s">
        <v>194</v>
      </c>
    </row>
    <row r="40" customFormat="false" ht="31.5" hidden="false" customHeight="true" outlineLevel="0" collapsed="false">
      <c r="B40" s="10" t="s">
        <v>195</v>
      </c>
      <c r="C40" s="10" t="s">
        <v>196</v>
      </c>
      <c r="D40" s="10"/>
      <c r="E40" s="10" t="s">
        <v>197</v>
      </c>
      <c r="F40" s="10" t="s">
        <v>198</v>
      </c>
      <c r="G40" s="10" t="s">
        <v>103</v>
      </c>
      <c r="H40" s="10" t="s">
        <v>35</v>
      </c>
      <c r="I40" s="15" t="s">
        <v>141</v>
      </c>
      <c r="J40" s="10" t="s">
        <v>142</v>
      </c>
      <c r="K40" s="12" t="s">
        <v>37</v>
      </c>
      <c r="L40" s="10" t="s">
        <v>37</v>
      </c>
      <c r="M40" s="10"/>
    </row>
    <row r="41" customFormat="false" ht="31.5" hidden="false" customHeight="true" outlineLevel="0" collapsed="false">
      <c r="B41" s="10" t="s">
        <v>199</v>
      </c>
      <c r="C41" s="10" t="s">
        <v>200</v>
      </c>
      <c r="D41" s="10"/>
      <c r="E41" s="10" t="s">
        <v>32</v>
      </c>
      <c r="F41" s="10" t="s">
        <v>201</v>
      </c>
      <c r="G41" s="10" t="s">
        <v>34</v>
      </c>
      <c r="H41" s="10" t="s">
        <v>35</v>
      </c>
      <c r="I41" s="13" t="s">
        <v>45</v>
      </c>
      <c r="J41" s="10" t="s">
        <v>202</v>
      </c>
      <c r="K41" s="12" t="s">
        <v>37</v>
      </c>
      <c r="L41" s="10" t="s">
        <v>38</v>
      </c>
      <c r="M41" s="10"/>
    </row>
    <row r="42" customFormat="false" ht="31.5" hidden="false" customHeight="true" outlineLevel="0" collapsed="false">
      <c r="B42" s="10" t="s">
        <v>203</v>
      </c>
      <c r="C42" s="10" t="s">
        <v>204</v>
      </c>
      <c r="D42" s="10"/>
      <c r="E42" s="10" t="s">
        <v>135</v>
      </c>
      <c r="F42" s="10" t="s">
        <v>205</v>
      </c>
      <c r="G42" s="10" t="s">
        <v>52</v>
      </c>
      <c r="H42" s="10" t="s">
        <v>35</v>
      </c>
      <c r="I42" s="15" t="s">
        <v>141</v>
      </c>
      <c r="J42" s="10" t="s">
        <v>142</v>
      </c>
      <c r="K42" s="12" t="s">
        <v>37</v>
      </c>
      <c r="L42" s="10" t="s">
        <v>38</v>
      </c>
      <c r="M42" s="10" t="s">
        <v>206</v>
      </c>
    </row>
    <row r="43" customFormat="false" ht="31.5" hidden="false" customHeight="true" outlineLevel="0" collapsed="false">
      <c r="B43" s="10" t="s">
        <v>207</v>
      </c>
      <c r="C43" s="10" t="s">
        <v>208</v>
      </c>
      <c r="D43" s="10"/>
      <c r="E43" s="10" t="s">
        <v>32</v>
      </c>
      <c r="F43" s="10" t="s">
        <v>209</v>
      </c>
      <c r="G43" s="10" t="s">
        <v>103</v>
      </c>
      <c r="H43" s="10" t="s">
        <v>35</v>
      </c>
      <c r="I43" s="11" t="s">
        <v>4</v>
      </c>
      <c r="J43" s="10" t="s">
        <v>210</v>
      </c>
      <c r="K43" s="12" t="s">
        <v>37</v>
      </c>
      <c r="L43" s="10" t="s">
        <v>37</v>
      </c>
      <c r="M43" s="10" t="s">
        <v>206</v>
      </c>
    </row>
    <row r="44" customFormat="false" ht="31.5" hidden="false" customHeight="true" outlineLevel="0" collapsed="false">
      <c r="B44" s="10" t="s">
        <v>211</v>
      </c>
      <c r="C44" s="10" t="s">
        <v>212</v>
      </c>
      <c r="D44" s="10"/>
      <c r="E44" s="10" t="s">
        <v>50</v>
      </c>
      <c r="F44" s="10" t="s">
        <v>213</v>
      </c>
      <c r="G44" s="10" t="s">
        <v>52</v>
      </c>
      <c r="H44" s="14" t="s">
        <v>53</v>
      </c>
      <c r="I44" s="11" t="s">
        <v>4</v>
      </c>
      <c r="J44" s="10" t="s">
        <v>214</v>
      </c>
      <c r="K44" s="13" t="s">
        <v>37</v>
      </c>
      <c r="L44" s="10" t="s">
        <v>55</v>
      </c>
      <c r="M44" s="10" t="s">
        <v>215</v>
      </c>
    </row>
    <row r="45" customFormat="false" ht="31.5" hidden="false" customHeight="true" outlineLevel="0" collapsed="false">
      <c r="B45" s="10" t="s">
        <v>216</v>
      </c>
      <c r="C45" s="10" t="s">
        <v>217</v>
      </c>
      <c r="D45" s="10"/>
      <c r="E45" s="10" t="s">
        <v>32</v>
      </c>
      <c r="F45" s="10" t="s">
        <v>218</v>
      </c>
      <c r="G45" s="10" t="s">
        <v>103</v>
      </c>
      <c r="H45" s="10" t="s">
        <v>35</v>
      </c>
      <c r="I45" s="15" t="s">
        <v>141</v>
      </c>
      <c r="J45" s="10" t="s">
        <v>142</v>
      </c>
      <c r="K45" s="12" t="s">
        <v>37</v>
      </c>
      <c r="L45" s="10" t="s">
        <v>37</v>
      </c>
      <c r="M45" s="10" t="s">
        <v>206</v>
      </c>
    </row>
    <row r="46" customFormat="false" ht="31.5" hidden="false" customHeight="true" outlineLevel="0" collapsed="false">
      <c r="B46" s="10" t="s">
        <v>219</v>
      </c>
      <c r="C46" s="10" t="s">
        <v>220</v>
      </c>
      <c r="D46" s="10"/>
      <c r="E46" s="10" t="s">
        <v>42</v>
      </c>
      <c r="F46" s="10" t="s">
        <v>221</v>
      </c>
      <c r="G46" s="10" t="s">
        <v>34</v>
      </c>
      <c r="H46" s="10" t="s">
        <v>35</v>
      </c>
      <c r="I46" s="15" t="s">
        <v>141</v>
      </c>
      <c r="J46" s="10" t="s">
        <v>142</v>
      </c>
      <c r="K46" s="12" t="s">
        <v>37</v>
      </c>
      <c r="L46" s="10" t="s">
        <v>38</v>
      </c>
      <c r="M46" s="10" t="s">
        <v>222</v>
      </c>
    </row>
    <row r="47" customFormat="false" ht="31.5" hidden="false" customHeight="true" outlineLevel="0" collapsed="false">
      <c r="B47" s="10" t="s">
        <v>223</v>
      </c>
      <c r="C47" s="10" t="s">
        <v>224</v>
      </c>
      <c r="D47" s="10"/>
      <c r="E47" s="10" t="s">
        <v>50</v>
      </c>
      <c r="F47" s="10" t="s">
        <v>213</v>
      </c>
      <c r="G47" s="10" t="s">
        <v>103</v>
      </c>
      <c r="H47" s="14" t="s">
        <v>53</v>
      </c>
      <c r="I47" s="15" t="s">
        <v>141</v>
      </c>
      <c r="J47" s="10" t="s">
        <v>225</v>
      </c>
      <c r="K47" s="12" t="s">
        <v>37</v>
      </c>
      <c r="L47" s="10" t="s">
        <v>37</v>
      </c>
      <c r="M47" s="10" t="s">
        <v>226</v>
      </c>
    </row>
    <row r="48" customFormat="false" ht="31.5" hidden="false" customHeight="true" outlineLevel="0" collapsed="false">
      <c r="B48" s="10" t="s">
        <v>227</v>
      </c>
      <c r="C48" s="10" t="s">
        <v>228</v>
      </c>
      <c r="D48" s="10"/>
      <c r="E48" s="10" t="s">
        <v>42</v>
      </c>
      <c r="F48" s="10" t="s">
        <v>221</v>
      </c>
      <c r="G48" s="10" t="s">
        <v>229</v>
      </c>
      <c r="H48" s="10" t="s">
        <v>35</v>
      </c>
      <c r="I48" s="15" t="s">
        <v>141</v>
      </c>
      <c r="J48" s="10" t="s">
        <v>142</v>
      </c>
      <c r="K48" s="12" t="s">
        <v>37</v>
      </c>
      <c r="L48" s="10" t="s">
        <v>38</v>
      </c>
      <c r="M48" s="10" t="s">
        <v>230</v>
      </c>
    </row>
    <row r="49" customFormat="false" ht="31.5" hidden="false" customHeight="true" outlineLevel="0" collapsed="false">
      <c r="B49" s="10" t="s">
        <v>231</v>
      </c>
      <c r="C49" s="10" t="s">
        <v>232</v>
      </c>
      <c r="D49" s="10"/>
      <c r="E49" s="10" t="s">
        <v>145</v>
      </c>
      <c r="F49" s="10" t="s">
        <v>233</v>
      </c>
      <c r="G49" s="10" t="s">
        <v>103</v>
      </c>
      <c r="H49" s="10" t="s">
        <v>35</v>
      </c>
      <c r="I49" s="15" t="s">
        <v>141</v>
      </c>
      <c r="J49" s="10" t="s">
        <v>142</v>
      </c>
      <c r="K49" s="12" t="s">
        <v>37</v>
      </c>
      <c r="L49" s="10" t="s">
        <v>37</v>
      </c>
      <c r="M49" s="10" t="s">
        <v>206</v>
      </c>
    </row>
    <row r="50" customFormat="false" ht="31.5" hidden="false" customHeight="true" outlineLevel="0" collapsed="false">
      <c r="B50" s="10" t="s">
        <v>234</v>
      </c>
      <c r="C50" s="10" t="s">
        <v>235</v>
      </c>
      <c r="D50" s="10"/>
      <c r="E50" s="10" t="s">
        <v>50</v>
      </c>
      <c r="F50" s="10" t="s">
        <v>236</v>
      </c>
      <c r="G50" s="10" t="s">
        <v>52</v>
      </c>
      <c r="H50" s="10" t="s">
        <v>35</v>
      </c>
      <c r="I50" s="15" t="s">
        <v>141</v>
      </c>
      <c r="J50" s="10" t="s">
        <v>142</v>
      </c>
      <c r="K50" s="12" t="s">
        <v>37</v>
      </c>
      <c r="L50" s="10" t="s">
        <v>38</v>
      </c>
      <c r="M50" s="10" t="s">
        <v>237</v>
      </c>
    </row>
    <row r="51" customFormat="false" ht="31.5" hidden="false" customHeight="true" outlineLevel="0" collapsed="false">
      <c r="B51" s="10" t="s">
        <v>238</v>
      </c>
      <c r="C51" s="10" t="s">
        <v>239</v>
      </c>
      <c r="D51" s="10"/>
      <c r="E51" s="10" t="s">
        <v>59</v>
      </c>
      <c r="F51" s="10" t="s">
        <v>240</v>
      </c>
      <c r="G51" s="10" t="s">
        <v>34</v>
      </c>
      <c r="H51" s="10" t="s">
        <v>35</v>
      </c>
      <c r="I51" s="15" t="s">
        <v>141</v>
      </c>
      <c r="J51" s="10" t="s">
        <v>142</v>
      </c>
      <c r="K51" s="12" t="s">
        <v>37</v>
      </c>
      <c r="L51" s="10" t="s">
        <v>38</v>
      </c>
      <c r="M51" s="10" t="s">
        <v>206</v>
      </c>
    </row>
    <row r="52" customFormat="false" ht="31.5" hidden="false" customHeight="true" outlineLevel="0" collapsed="false">
      <c r="B52" s="10" t="s">
        <v>241</v>
      </c>
      <c r="C52" s="10" t="s">
        <v>242</v>
      </c>
      <c r="D52" s="10"/>
      <c r="E52" s="10" t="s">
        <v>42</v>
      </c>
      <c r="F52" s="10" t="s">
        <v>221</v>
      </c>
      <c r="G52" s="10" t="s">
        <v>229</v>
      </c>
      <c r="H52" s="10" t="s">
        <v>35</v>
      </c>
      <c r="I52" s="15" t="s">
        <v>141</v>
      </c>
      <c r="J52" s="10" t="s">
        <v>142</v>
      </c>
      <c r="K52" s="12" t="s">
        <v>37</v>
      </c>
      <c r="L52" s="10" t="s">
        <v>38</v>
      </c>
      <c r="M52" s="10" t="s">
        <v>243</v>
      </c>
    </row>
    <row r="53" customFormat="false" ht="31.5" hidden="false" customHeight="true" outlineLevel="0" collapsed="false">
      <c r="B53" s="10" t="s">
        <v>244</v>
      </c>
      <c r="C53" s="10" t="s">
        <v>245</v>
      </c>
      <c r="D53" s="10"/>
      <c r="E53" s="10" t="s">
        <v>246</v>
      </c>
      <c r="F53" s="10" t="s">
        <v>247</v>
      </c>
      <c r="G53" s="10" t="s">
        <v>52</v>
      </c>
      <c r="H53" s="10" t="s">
        <v>35</v>
      </c>
      <c r="I53" s="15" t="s">
        <v>141</v>
      </c>
      <c r="J53" s="10" t="s">
        <v>142</v>
      </c>
      <c r="K53" s="12" t="s">
        <v>37</v>
      </c>
      <c r="L53" s="10" t="s">
        <v>38</v>
      </c>
      <c r="M53" s="10"/>
    </row>
    <row r="54" customFormat="false" ht="31.5" hidden="false" customHeight="true" outlineLevel="0" collapsed="false">
      <c r="B54" s="10" t="s">
        <v>248</v>
      </c>
      <c r="C54" s="10" t="s">
        <v>249</v>
      </c>
      <c r="D54" s="10"/>
      <c r="E54" s="10" t="s">
        <v>135</v>
      </c>
      <c r="F54" s="10" t="s">
        <v>250</v>
      </c>
      <c r="G54" s="10" t="s">
        <v>103</v>
      </c>
      <c r="H54" s="10" t="s">
        <v>35</v>
      </c>
      <c r="I54" s="15" t="s">
        <v>141</v>
      </c>
      <c r="J54" s="10" t="s">
        <v>142</v>
      </c>
      <c r="K54" s="12" t="s">
        <v>37</v>
      </c>
      <c r="L54" s="10" t="s">
        <v>37</v>
      </c>
      <c r="M54" s="10" t="s">
        <v>251</v>
      </c>
    </row>
    <row r="55" customFormat="false" ht="31.5" hidden="false" customHeight="true" outlineLevel="0" collapsed="false">
      <c r="B55" s="10" t="s">
        <v>252</v>
      </c>
      <c r="C55" s="10" t="s">
        <v>253</v>
      </c>
      <c r="D55" s="10"/>
      <c r="E55" s="10" t="s">
        <v>154</v>
      </c>
      <c r="F55" s="10" t="s">
        <v>254</v>
      </c>
      <c r="G55" s="10" t="s">
        <v>103</v>
      </c>
      <c r="H55" s="10" t="s">
        <v>35</v>
      </c>
      <c r="I55" s="15" t="s">
        <v>141</v>
      </c>
      <c r="J55" s="10" t="s">
        <v>142</v>
      </c>
      <c r="K55" s="13" t="s">
        <v>37</v>
      </c>
      <c r="L55" s="10" t="s">
        <v>55</v>
      </c>
      <c r="M55" s="10" t="s">
        <v>255</v>
      </c>
    </row>
    <row r="56" customFormat="false" ht="31.5" hidden="false" customHeight="true" outlineLevel="0" collapsed="false">
      <c r="B56" s="10" t="s">
        <v>256</v>
      </c>
      <c r="C56" s="10" t="s">
        <v>257</v>
      </c>
      <c r="D56" s="10"/>
      <c r="E56" s="10" t="s">
        <v>59</v>
      </c>
      <c r="F56" s="10" t="s">
        <v>108</v>
      </c>
      <c r="G56" s="10" t="s">
        <v>103</v>
      </c>
      <c r="H56" s="10" t="s">
        <v>35</v>
      </c>
      <c r="I56" s="15" t="s">
        <v>141</v>
      </c>
      <c r="J56" s="10" t="s">
        <v>142</v>
      </c>
      <c r="K56" s="12" t="s">
        <v>37</v>
      </c>
      <c r="L56" s="10" t="s">
        <v>37</v>
      </c>
      <c r="M56" s="10" t="s">
        <v>179</v>
      </c>
    </row>
    <row r="57" customFormat="false" ht="31.5" hidden="false" customHeight="true" outlineLevel="0" collapsed="false">
      <c r="B57" s="10" t="s">
        <v>258</v>
      </c>
      <c r="C57" s="10" t="s">
        <v>259</v>
      </c>
      <c r="D57" s="10"/>
      <c r="E57" s="10" t="s">
        <v>77</v>
      </c>
      <c r="F57" s="10" t="s">
        <v>260</v>
      </c>
      <c r="G57" s="10" t="s">
        <v>103</v>
      </c>
      <c r="H57" s="10" t="s">
        <v>35</v>
      </c>
      <c r="I57" s="13" t="s">
        <v>45</v>
      </c>
      <c r="J57" s="10" t="s">
        <v>261</v>
      </c>
      <c r="K57" s="13" t="s">
        <v>37</v>
      </c>
      <c r="L57" s="10" t="s">
        <v>55</v>
      </c>
      <c r="M57" s="10" t="s">
        <v>262</v>
      </c>
    </row>
    <row r="58" customFormat="false" ht="31.5" hidden="false" customHeight="true" outlineLevel="0" collapsed="false">
      <c r="B58" s="10" t="s">
        <v>263</v>
      </c>
      <c r="C58" s="10" t="s">
        <v>264</v>
      </c>
      <c r="D58" s="10"/>
      <c r="E58" s="10" t="s">
        <v>77</v>
      </c>
      <c r="F58" s="10" t="s">
        <v>265</v>
      </c>
      <c r="G58" s="10" t="s">
        <v>103</v>
      </c>
      <c r="H58" s="10" t="s">
        <v>35</v>
      </c>
      <c r="I58" s="15" t="s">
        <v>141</v>
      </c>
      <c r="J58" s="10" t="s">
        <v>142</v>
      </c>
      <c r="K58" s="13" t="s">
        <v>37</v>
      </c>
      <c r="L58" s="10" t="s">
        <v>55</v>
      </c>
      <c r="M58" s="10" t="s">
        <v>262</v>
      </c>
    </row>
    <row r="59" customFormat="false" ht="31.5" hidden="false" customHeight="true" outlineLevel="0" collapsed="false">
      <c r="B59" s="10" t="s">
        <v>266</v>
      </c>
      <c r="C59" s="10" t="s">
        <v>267</v>
      </c>
      <c r="D59" s="10"/>
      <c r="E59" s="10" t="s">
        <v>59</v>
      </c>
      <c r="F59" s="10" t="s">
        <v>108</v>
      </c>
      <c r="G59" s="10" t="s">
        <v>34</v>
      </c>
      <c r="H59" s="10" t="s">
        <v>35</v>
      </c>
      <c r="I59" s="15" t="s">
        <v>141</v>
      </c>
      <c r="J59" s="10" t="s">
        <v>142</v>
      </c>
      <c r="K59" s="12" t="s">
        <v>37</v>
      </c>
      <c r="L59" s="10" t="s">
        <v>38</v>
      </c>
      <c r="M59" s="10" t="s">
        <v>268</v>
      </c>
    </row>
    <row r="60" customFormat="false" ht="31.5" hidden="false" customHeight="true" outlineLevel="0" collapsed="false">
      <c r="B60" s="10" t="s">
        <v>269</v>
      </c>
      <c r="C60" s="10" t="s">
        <v>270</v>
      </c>
      <c r="D60" s="10"/>
      <c r="E60" s="10" t="s">
        <v>32</v>
      </c>
      <c r="F60" s="10" t="s">
        <v>271</v>
      </c>
      <c r="G60" s="10" t="s">
        <v>103</v>
      </c>
      <c r="H60" s="10" t="s">
        <v>35</v>
      </c>
      <c r="I60" s="15" t="s">
        <v>141</v>
      </c>
      <c r="J60" s="10" t="s">
        <v>142</v>
      </c>
      <c r="K60" s="13" t="s">
        <v>37</v>
      </c>
      <c r="L60" s="10" t="s">
        <v>55</v>
      </c>
      <c r="M60" s="10" t="s">
        <v>255</v>
      </c>
    </row>
    <row r="61" customFormat="false" ht="31.5" hidden="false" customHeight="true" outlineLevel="0" collapsed="false">
      <c r="B61" s="10" t="s">
        <v>272</v>
      </c>
      <c r="C61" s="10" t="s">
        <v>273</v>
      </c>
      <c r="D61" s="10"/>
      <c r="E61" s="10" t="s">
        <v>197</v>
      </c>
      <c r="F61" s="10" t="s">
        <v>274</v>
      </c>
      <c r="G61" s="10" t="s">
        <v>52</v>
      </c>
      <c r="H61" s="10" t="s">
        <v>35</v>
      </c>
      <c r="I61" s="15" t="s">
        <v>141</v>
      </c>
      <c r="J61" s="10" t="s">
        <v>142</v>
      </c>
      <c r="K61" s="12" t="s">
        <v>37</v>
      </c>
      <c r="L61" s="10" t="s">
        <v>38</v>
      </c>
      <c r="M61" s="10"/>
    </row>
    <row r="62" customFormat="false" ht="31.5" hidden="false" customHeight="true" outlineLevel="0" collapsed="false">
      <c r="B62" s="10" t="s">
        <v>275</v>
      </c>
      <c r="C62" s="10" t="s">
        <v>276</v>
      </c>
      <c r="D62" s="10"/>
      <c r="E62" s="10" t="s">
        <v>87</v>
      </c>
      <c r="F62" s="10" t="s">
        <v>277</v>
      </c>
      <c r="G62" s="10" t="s">
        <v>103</v>
      </c>
      <c r="H62" s="10" t="s">
        <v>35</v>
      </c>
      <c r="I62" s="15" t="s">
        <v>141</v>
      </c>
      <c r="J62" s="10" t="s">
        <v>142</v>
      </c>
      <c r="K62" s="13" t="s">
        <v>37</v>
      </c>
      <c r="L62" s="10" t="s">
        <v>55</v>
      </c>
      <c r="M62" s="10" t="s">
        <v>278</v>
      </c>
    </row>
    <row r="63" customFormat="false" ht="31.5" hidden="false" customHeight="true" outlineLevel="0" collapsed="false">
      <c r="B63" s="10" t="s">
        <v>279</v>
      </c>
      <c r="C63" s="10" t="s">
        <v>280</v>
      </c>
      <c r="D63" s="10"/>
      <c r="E63" s="10" t="s">
        <v>50</v>
      </c>
      <c r="F63" s="10" t="s">
        <v>281</v>
      </c>
      <c r="G63" s="10" t="s">
        <v>52</v>
      </c>
      <c r="H63" s="10" t="s">
        <v>35</v>
      </c>
      <c r="I63" s="15" t="s">
        <v>141</v>
      </c>
      <c r="J63" s="10" t="s">
        <v>142</v>
      </c>
      <c r="K63" s="12" t="s">
        <v>37</v>
      </c>
      <c r="L63" s="10" t="s">
        <v>38</v>
      </c>
      <c r="M63" s="10"/>
    </row>
    <row r="64" customFormat="false" ht="31.5" hidden="false" customHeight="true" outlineLevel="0" collapsed="false">
      <c r="B64" s="10" t="s">
        <v>282</v>
      </c>
      <c r="C64" s="10" t="s">
        <v>283</v>
      </c>
      <c r="D64" s="10"/>
      <c r="E64" s="10" t="s">
        <v>284</v>
      </c>
      <c r="F64" s="10" t="s">
        <v>285</v>
      </c>
      <c r="G64" s="10" t="s">
        <v>103</v>
      </c>
      <c r="H64" s="10" t="s">
        <v>35</v>
      </c>
      <c r="I64" s="15" t="s">
        <v>141</v>
      </c>
      <c r="J64" s="10" t="s">
        <v>142</v>
      </c>
      <c r="K64" s="12" t="s">
        <v>37</v>
      </c>
      <c r="L64" s="10" t="s">
        <v>37</v>
      </c>
      <c r="M64" s="10" t="s">
        <v>286</v>
      </c>
    </row>
    <row r="65" customFormat="false" ht="31.5" hidden="false" customHeight="true" outlineLevel="0" collapsed="false">
      <c r="B65" s="10" t="s">
        <v>287</v>
      </c>
      <c r="C65" s="10" t="s">
        <v>288</v>
      </c>
      <c r="D65" s="10"/>
      <c r="E65" s="10" t="s">
        <v>284</v>
      </c>
      <c r="F65" s="10" t="s">
        <v>285</v>
      </c>
      <c r="G65" s="10" t="s">
        <v>122</v>
      </c>
      <c r="H65" s="10" t="s">
        <v>35</v>
      </c>
      <c r="I65" s="15" t="s">
        <v>141</v>
      </c>
      <c r="J65" s="10" t="s">
        <v>142</v>
      </c>
      <c r="K65" s="13" t="s">
        <v>37</v>
      </c>
      <c r="L65" s="10" t="s">
        <v>55</v>
      </c>
      <c r="M65" s="10" t="s">
        <v>289</v>
      </c>
    </row>
    <row r="66" customFormat="false" ht="31.5" hidden="false" customHeight="true" outlineLevel="0" collapsed="false">
      <c r="B66" s="10" t="s">
        <v>290</v>
      </c>
      <c r="C66" s="10" t="s">
        <v>291</v>
      </c>
      <c r="D66" s="10"/>
      <c r="E66" s="10" t="s">
        <v>145</v>
      </c>
      <c r="F66" s="10" t="s">
        <v>292</v>
      </c>
      <c r="G66" s="10" t="s">
        <v>44</v>
      </c>
      <c r="H66" s="10" t="s">
        <v>35</v>
      </c>
      <c r="I66" s="15" t="s">
        <v>141</v>
      </c>
      <c r="J66" s="10" t="s">
        <v>142</v>
      </c>
      <c r="K66" s="12" t="s">
        <v>37</v>
      </c>
      <c r="L66" s="10" t="s">
        <v>37</v>
      </c>
      <c r="M66" s="10"/>
    </row>
    <row r="67" customFormat="false" ht="31.5" hidden="false" customHeight="true" outlineLevel="0" collapsed="false">
      <c r="B67" s="10" t="s">
        <v>293</v>
      </c>
      <c r="C67" s="10" t="s">
        <v>294</v>
      </c>
      <c r="D67" s="10"/>
      <c r="E67" s="10" t="s">
        <v>295</v>
      </c>
      <c r="F67" s="10" t="s">
        <v>296</v>
      </c>
      <c r="G67" s="10" t="s">
        <v>103</v>
      </c>
      <c r="H67" s="10" t="s">
        <v>35</v>
      </c>
      <c r="I67" s="15" t="s">
        <v>141</v>
      </c>
      <c r="J67" s="10" t="s">
        <v>142</v>
      </c>
      <c r="K67" s="12" t="s">
        <v>37</v>
      </c>
      <c r="L67" s="10" t="s">
        <v>37</v>
      </c>
      <c r="M67" s="10"/>
    </row>
    <row r="68" customFormat="false" ht="31.5" hidden="false" customHeight="true" outlineLevel="0" collapsed="false">
      <c r="B68" s="10" t="s">
        <v>297</v>
      </c>
      <c r="C68" s="10" t="s">
        <v>298</v>
      </c>
      <c r="D68" s="10"/>
      <c r="E68" s="10" t="s">
        <v>135</v>
      </c>
      <c r="F68" s="10" t="s">
        <v>299</v>
      </c>
      <c r="G68" s="10" t="s">
        <v>52</v>
      </c>
      <c r="H68" s="10" t="s">
        <v>35</v>
      </c>
      <c r="I68" s="15" t="s">
        <v>141</v>
      </c>
      <c r="J68" s="10" t="s">
        <v>142</v>
      </c>
      <c r="K68" s="12" t="s">
        <v>37</v>
      </c>
      <c r="L68" s="10" t="s">
        <v>38</v>
      </c>
      <c r="M68" s="10" t="s">
        <v>300</v>
      </c>
    </row>
    <row r="69" customFormat="false" ht="31.5" hidden="false" customHeight="true" outlineLevel="0" collapsed="false">
      <c r="B69" s="10" t="s">
        <v>301</v>
      </c>
      <c r="C69" s="10" t="s">
        <v>302</v>
      </c>
      <c r="D69" s="10"/>
      <c r="E69" s="10" t="s">
        <v>87</v>
      </c>
      <c r="F69" s="10" t="s">
        <v>277</v>
      </c>
      <c r="G69" s="10" t="s">
        <v>122</v>
      </c>
      <c r="H69" s="10" t="s">
        <v>35</v>
      </c>
      <c r="I69" s="15" t="s">
        <v>141</v>
      </c>
      <c r="J69" s="10" t="s">
        <v>142</v>
      </c>
      <c r="K69" s="13" t="s">
        <v>37</v>
      </c>
      <c r="L69" s="10" t="s">
        <v>55</v>
      </c>
      <c r="M69" s="10" t="s">
        <v>303</v>
      </c>
    </row>
    <row r="70" customFormat="false" ht="31.5" hidden="false" customHeight="true" outlineLevel="0" collapsed="false">
      <c r="B70" s="10" t="s">
        <v>304</v>
      </c>
      <c r="C70" s="10" t="s">
        <v>305</v>
      </c>
      <c r="D70" s="10"/>
      <c r="E70" s="10" t="s">
        <v>59</v>
      </c>
      <c r="F70" s="10" t="s">
        <v>306</v>
      </c>
      <c r="G70" s="10" t="s">
        <v>44</v>
      </c>
      <c r="H70" s="10" t="s">
        <v>35</v>
      </c>
      <c r="I70" s="11" t="s">
        <v>4</v>
      </c>
      <c r="J70" s="10" t="s">
        <v>307</v>
      </c>
      <c r="K70" s="12" t="s">
        <v>37</v>
      </c>
      <c r="L70" s="10" t="s">
        <v>37</v>
      </c>
      <c r="M70" s="10" t="s">
        <v>308</v>
      </c>
    </row>
    <row r="71" customFormat="false" ht="31.5" hidden="false" customHeight="true" outlineLevel="0" collapsed="false">
      <c r="B71" s="10" t="s">
        <v>309</v>
      </c>
      <c r="C71" s="10" t="s">
        <v>310</v>
      </c>
      <c r="D71" s="10"/>
      <c r="E71" s="10" t="s">
        <v>59</v>
      </c>
      <c r="F71" s="10" t="s">
        <v>306</v>
      </c>
      <c r="G71" s="10" t="s">
        <v>44</v>
      </c>
      <c r="H71" s="10" t="s">
        <v>35</v>
      </c>
      <c r="I71" s="15" t="s">
        <v>141</v>
      </c>
      <c r="J71" s="10" t="s">
        <v>142</v>
      </c>
      <c r="K71" s="12" t="s">
        <v>37</v>
      </c>
      <c r="L71" s="10" t="s">
        <v>37</v>
      </c>
      <c r="M71" s="10" t="s">
        <v>311</v>
      </c>
    </row>
    <row r="72" customFormat="false" ht="31.5" hidden="false" customHeight="true" outlineLevel="0" collapsed="false">
      <c r="B72" s="10" t="s">
        <v>312</v>
      </c>
      <c r="C72" s="10" t="s">
        <v>313</v>
      </c>
      <c r="D72" s="10"/>
      <c r="E72" s="10" t="s">
        <v>42</v>
      </c>
      <c r="F72" s="10" t="s">
        <v>314</v>
      </c>
      <c r="G72" s="10" t="s">
        <v>103</v>
      </c>
      <c r="H72" s="10" t="s">
        <v>35</v>
      </c>
      <c r="I72" s="13" t="s">
        <v>45</v>
      </c>
      <c r="J72" s="10" t="s">
        <v>315</v>
      </c>
      <c r="K72" s="13" t="s">
        <v>37</v>
      </c>
      <c r="L72" s="10" t="s">
        <v>55</v>
      </c>
      <c r="M72" s="10" t="s">
        <v>316</v>
      </c>
    </row>
    <row r="73" customFormat="false" ht="31.5" hidden="false" customHeight="true" outlineLevel="0" collapsed="false">
      <c r="B73" s="10" t="s">
        <v>317</v>
      </c>
      <c r="C73" s="10" t="s">
        <v>318</v>
      </c>
      <c r="D73" s="10"/>
      <c r="E73" s="10" t="s">
        <v>50</v>
      </c>
      <c r="F73" s="10" t="s">
        <v>319</v>
      </c>
      <c r="G73" s="10" t="s">
        <v>52</v>
      </c>
      <c r="H73" s="10" t="s">
        <v>35</v>
      </c>
      <c r="I73" s="15" t="s">
        <v>141</v>
      </c>
      <c r="J73" s="10" t="s">
        <v>142</v>
      </c>
      <c r="K73" s="12" t="s">
        <v>37</v>
      </c>
      <c r="L73" s="10" t="s">
        <v>38</v>
      </c>
      <c r="M73" s="10"/>
    </row>
    <row r="74" customFormat="false" ht="31.5" hidden="false" customHeight="true" outlineLevel="0" collapsed="false">
      <c r="B74" s="10" t="s">
        <v>320</v>
      </c>
      <c r="C74" s="10" t="s">
        <v>321</v>
      </c>
      <c r="D74" s="10"/>
      <c r="E74" s="10" t="s">
        <v>154</v>
      </c>
      <c r="F74" s="10" t="s">
        <v>322</v>
      </c>
      <c r="G74" s="10" t="s">
        <v>44</v>
      </c>
      <c r="H74" s="10" t="s">
        <v>35</v>
      </c>
      <c r="I74" s="13" t="s">
        <v>45</v>
      </c>
      <c r="J74" s="10" t="s">
        <v>323</v>
      </c>
      <c r="K74" s="12" t="s">
        <v>37</v>
      </c>
      <c r="L74" s="10" t="s">
        <v>37</v>
      </c>
      <c r="M74" s="10" t="s">
        <v>324</v>
      </c>
    </row>
    <row r="75" customFormat="false" ht="31.5" hidden="false" customHeight="true" outlineLevel="0" collapsed="false">
      <c r="B75" s="10" t="s">
        <v>325</v>
      </c>
      <c r="C75" s="10" t="s">
        <v>326</v>
      </c>
      <c r="D75" s="10"/>
      <c r="E75" s="10" t="s">
        <v>154</v>
      </c>
      <c r="F75" s="10" t="s">
        <v>322</v>
      </c>
      <c r="G75" s="10" t="s">
        <v>44</v>
      </c>
      <c r="H75" s="10" t="s">
        <v>35</v>
      </c>
      <c r="I75" s="13" t="s">
        <v>45</v>
      </c>
      <c r="J75" s="10" t="s">
        <v>327</v>
      </c>
      <c r="K75" s="12" t="s">
        <v>37</v>
      </c>
      <c r="L75" s="10" t="s">
        <v>37</v>
      </c>
      <c r="M75" s="10" t="s">
        <v>328</v>
      </c>
    </row>
    <row r="76" customFormat="false" ht="31.5" hidden="false" customHeight="true" outlineLevel="0" collapsed="false">
      <c r="B76" s="10" t="s">
        <v>329</v>
      </c>
      <c r="C76" s="10" t="s">
        <v>330</v>
      </c>
      <c r="D76" s="10"/>
      <c r="E76" s="10" t="s">
        <v>59</v>
      </c>
      <c r="F76" s="10" t="s">
        <v>331</v>
      </c>
      <c r="G76" s="10" t="s">
        <v>52</v>
      </c>
      <c r="H76" s="10" t="s">
        <v>35</v>
      </c>
      <c r="I76" s="15" t="s">
        <v>141</v>
      </c>
      <c r="J76" s="10" t="s">
        <v>142</v>
      </c>
      <c r="K76" s="12" t="s">
        <v>37</v>
      </c>
      <c r="L76" s="10" t="s">
        <v>38</v>
      </c>
      <c r="M76" s="10"/>
    </row>
    <row r="77" customFormat="false" ht="31.5" hidden="false" customHeight="true" outlineLevel="0" collapsed="false">
      <c r="B77" s="10" t="s">
        <v>332</v>
      </c>
      <c r="C77" s="10" t="s">
        <v>333</v>
      </c>
      <c r="D77" s="10"/>
      <c r="E77" s="10" t="s">
        <v>135</v>
      </c>
      <c r="F77" s="10" t="s">
        <v>334</v>
      </c>
      <c r="G77" s="10" t="s">
        <v>122</v>
      </c>
      <c r="H77" s="10" t="s">
        <v>35</v>
      </c>
      <c r="I77" s="15" t="s">
        <v>141</v>
      </c>
      <c r="J77" s="10" t="s">
        <v>142</v>
      </c>
      <c r="K77" s="13" t="s">
        <v>37</v>
      </c>
      <c r="L77" s="10" t="s">
        <v>55</v>
      </c>
      <c r="M77" s="10" t="s">
        <v>262</v>
      </c>
    </row>
    <row r="78" customFormat="false" ht="31.5" hidden="false" customHeight="true" outlineLevel="0" collapsed="false">
      <c r="B78" s="10" t="s">
        <v>335</v>
      </c>
      <c r="C78" s="10" t="s">
        <v>336</v>
      </c>
      <c r="D78" s="10"/>
      <c r="E78" s="10" t="s">
        <v>32</v>
      </c>
      <c r="F78" s="10" t="s">
        <v>337</v>
      </c>
      <c r="G78" s="10" t="s">
        <v>52</v>
      </c>
      <c r="H78" s="10" t="s">
        <v>35</v>
      </c>
      <c r="I78" s="15" t="s">
        <v>141</v>
      </c>
      <c r="J78" s="10" t="s">
        <v>142</v>
      </c>
      <c r="K78" s="12" t="s">
        <v>37</v>
      </c>
      <c r="L78" s="10" t="s">
        <v>38</v>
      </c>
      <c r="M78" s="10"/>
    </row>
    <row r="79" customFormat="false" ht="31.5" hidden="false" customHeight="true" outlineLevel="0" collapsed="false">
      <c r="B79" s="10" t="s">
        <v>338</v>
      </c>
      <c r="C79" s="10" t="s">
        <v>339</v>
      </c>
      <c r="D79" s="10"/>
      <c r="E79" s="10" t="s">
        <v>135</v>
      </c>
      <c r="F79" s="10" t="s">
        <v>340</v>
      </c>
      <c r="G79" s="10" t="s">
        <v>52</v>
      </c>
      <c r="H79" s="10" t="s">
        <v>35</v>
      </c>
      <c r="I79" s="15" t="s">
        <v>141</v>
      </c>
      <c r="J79" s="10" t="s">
        <v>142</v>
      </c>
      <c r="K79" s="12" t="s">
        <v>37</v>
      </c>
      <c r="L79" s="10" t="s">
        <v>38</v>
      </c>
      <c r="M79" s="10"/>
    </row>
    <row r="80" customFormat="false" ht="31.5" hidden="false" customHeight="true" outlineLevel="0" collapsed="false">
      <c r="B80" s="10" t="s">
        <v>341</v>
      </c>
      <c r="C80" s="10" t="s">
        <v>342</v>
      </c>
      <c r="D80" s="10"/>
      <c r="E80" s="10" t="s">
        <v>154</v>
      </c>
      <c r="F80" s="10" t="s">
        <v>343</v>
      </c>
      <c r="G80" s="10" t="s">
        <v>122</v>
      </c>
      <c r="H80" s="10" t="s">
        <v>35</v>
      </c>
      <c r="I80" s="15" t="s">
        <v>141</v>
      </c>
      <c r="J80" s="10" t="s">
        <v>142</v>
      </c>
      <c r="K80" s="13" t="s">
        <v>37</v>
      </c>
      <c r="L80" s="10" t="s">
        <v>55</v>
      </c>
      <c r="M80" s="10" t="s">
        <v>262</v>
      </c>
    </row>
    <row r="81" customFormat="false" ht="31.5" hidden="false" customHeight="true" outlineLevel="0" collapsed="false">
      <c r="B81" s="10" t="s">
        <v>344</v>
      </c>
      <c r="C81" s="10" t="s">
        <v>345</v>
      </c>
      <c r="D81" s="10"/>
      <c r="E81" s="10" t="s">
        <v>50</v>
      </c>
      <c r="F81" s="10" t="s">
        <v>346</v>
      </c>
      <c r="G81" s="10" t="s">
        <v>52</v>
      </c>
      <c r="H81" s="10" t="s">
        <v>35</v>
      </c>
      <c r="I81" s="15" t="s">
        <v>141</v>
      </c>
      <c r="J81" s="10" t="s">
        <v>142</v>
      </c>
      <c r="K81" s="12" t="s">
        <v>37</v>
      </c>
      <c r="L81" s="10" t="s">
        <v>38</v>
      </c>
      <c r="M81" s="10"/>
    </row>
    <row r="82" customFormat="false" ht="31.5" hidden="false" customHeight="true" outlineLevel="0" collapsed="false">
      <c r="B82" s="10" t="s">
        <v>347</v>
      </c>
      <c r="C82" s="10" t="s">
        <v>348</v>
      </c>
      <c r="D82" s="10"/>
      <c r="E82" s="10" t="s">
        <v>42</v>
      </c>
      <c r="F82" s="10" t="s">
        <v>349</v>
      </c>
      <c r="G82" s="10" t="s">
        <v>72</v>
      </c>
      <c r="H82" s="10" t="s">
        <v>35</v>
      </c>
      <c r="I82" s="15" t="s">
        <v>141</v>
      </c>
      <c r="J82" s="10" t="s">
        <v>142</v>
      </c>
      <c r="K82" s="12" t="s">
        <v>37</v>
      </c>
      <c r="L82" s="10" t="s">
        <v>37</v>
      </c>
      <c r="M82" s="10"/>
    </row>
    <row r="83" customFormat="false" ht="31.5" hidden="false" customHeight="true" outlineLevel="0" collapsed="false">
      <c r="B83" s="10" t="s">
        <v>350</v>
      </c>
      <c r="C83" s="10" t="s">
        <v>351</v>
      </c>
      <c r="D83" s="10"/>
      <c r="E83" s="10" t="s">
        <v>174</v>
      </c>
      <c r="F83" s="10" t="s">
        <v>352</v>
      </c>
      <c r="G83" s="10" t="s">
        <v>103</v>
      </c>
      <c r="H83" s="10" t="s">
        <v>35</v>
      </c>
      <c r="I83" s="15" t="s">
        <v>141</v>
      </c>
      <c r="J83" s="10" t="s">
        <v>142</v>
      </c>
      <c r="K83" s="12" t="s">
        <v>37</v>
      </c>
      <c r="L83" s="10" t="s">
        <v>37</v>
      </c>
      <c r="M83" s="10"/>
    </row>
    <row r="84" customFormat="false" ht="31.5" hidden="false" customHeight="true" outlineLevel="0" collapsed="false">
      <c r="B84" s="10" t="s">
        <v>353</v>
      </c>
      <c r="C84" s="10" t="s">
        <v>354</v>
      </c>
      <c r="D84" s="10"/>
      <c r="E84" s="10" t="s">
        <v>50</v>
      </c>
      <c r="F84" s="10" t="s">
        <v>355</v>
      </c>
      <c r="G84" s="10" t="s">
        <v>52</v>
      </c>
      <c r="H84" s="10" t="s">
        <v>35</v>
      </c>
      <c r="I84" s="15" t="s">
        <v>141</v>
      </c>
      <c r="J84" s="10" t="s">
        <v>142</v>
      </c>
      <c r="K84" s="12" t="s">
        <v>37</v>
      </c>
      <c r="L84" s="10" t="s">
        <v>38</v>
      </c>
      <c r="M84" s="10" t="s">
        <v>356</v>
      </c>
    </row>
    <row r="85" customFormat="false" ht="31.5" hidden="false" customHeight="true" outlineLevel="0" collapsed="false">
      <c r="B85" s="10" t="s">
        <v>357</v>
      </c>
      <c r="C85" s="10" t="s">
        <v>358</v>
      </c>
      <c r="D85" s="10"/>
      <c r="E85" s="10" t="s">
        <v>87</v>
      </c>
      <c r="F85" s="10" t="s">
        <v>359</v>
      </c>
      <c r="G85" s="10" t="s">
        <v>103</v>
      </c>
      <c r="H85" s="10" t="s">
        <v>35</v>
      </c>
      <c r="I85" s="13" t="s">
        <v>45</v>
      </c>
      <c r="J85" s="10" t="s">
        <v>360</v>
      </c>
      <c r="K85" s="13" t="s">
        <v>37</v>
      </c>
      <c r="L85" s="10" t="s">
        <v>55</v>
      </c>
      <c r="M85" s="10" t="s">
        <v>262</v>
      </c>
    </row>
    <row r="86" customFormat="false" ht="31.5" hidden="false" customHeight="true" outlineLevel="0" collapsed="false">
      <c r="B86" s="10" t="s">
        <v>361</v>
      </c>
      <c r="C86" s="10" t="s">
        <v>362</v>
      </c>
      <c r="D86" s="10"/>
      <c r="E86" s="10" t="s">
        <v>70</v>
      </c>
      <c r="F86" s="10" t="s">
        <v>363</v>
      </c>
      <c r="G86" s="10" t="s">
        <v>52</v>
      </c>
      <c r="H86" s="10" t="s">
        <v>35</v>
      </c>
      <c r="I86" s="15" t="s">
        <v>141</v>
      </c>
      <c r="J86" s="10" t="s">
        <v>142</v>
      </c>
      <c r="K86" s="12" t="s">
        <v>37</v>
      </c>
      <c r="L86" s="10" t="s">
        <v>38</v>
      </c>
      <c r="M86" s="10"/>
    </row>
    <row r="87" customFormat="false" ht="31.5" hidden="false" customHeight="true" outlineLevel="0" collapsed="false">
      <c r="B87" s="10" t="s">
        <v>364</v>
      </c>
      <c r="C87" s="10" t="s">
        <v>365</v>
      </c>
      <c r="D87" s="10"/>
      <c r="E87" s="10" t="s">
        <v>42</v>
      </c>
      <c r="F87" s="10" t="s">
        <v>314</v>
      </c>
      <c r="G87" s="10" t="s">
        <v>103</v>
      </c>
      <c r="H87" s="10" t="s">
        <v>35</v>
      </c>
      <c r="I87" s="15" t="s">
        <v>141</v>
      </c>
      <c r="J87" s="10" t="s">
        <v>142</v>
      </c>
      <c r="K87" s="13" t="s">
        <v>37</v>
      </c>
      <c r="L87" s="10" t="s">
        <v>55</v>
      </c>
      <c r="M87" s="10" t="s">
        <v>366</v>
      </c>
    </row>
    <row r="88" customFormat="false" ht="31.5" hidden="false" customHeight="true" outlineLevel="0" collapsed="false">
      <c r="B88" s="10" t="s">
        <v>367</v>
      </c>
      <c r="C88" s="10" t="s">
        <v>368</v>
      </c>
      <c r="D88" s="10"/>
      <c r="E88" s="10" t="s">
        <v>59</v>
      </c>
      <c r="F88" s="10" t="s">
        <v>369</v>
      </c>
      <c r="G88" s="10" t="s">
        <v>34</v>
      </c>
      <c r="H88" s="10" t="s">
        <v>35</v>
      </c>
      <c r="I88" s="15" t="s">
        <v>141</v>
      </c>
      <c r="J88" s="10" t="s">
        <v>142</v>
      </c>
      <c r="K88" s="12" t="s">
        <v>37</v>
      </c>
      <c r="L88" s="10" t="s">
        <v>38</v>
      </c>
      <c r="M88" s="10"/>
    </row>
    <row r="89" customFormat="false" ht="31.5" hidden="false" customHeight="true" outlineLevel="0" collapsed="false">
      <c r="B89" s="10" t="s">
        <v>370</v>
      </c>
      <c r="C89" s="10" t="s">
        <v>371</v>
      </c>
      <c r="D89" s="10"/>
      <c r="E89" s="10" t="s">
        <v>59</v>
      </c>
      <c r="F89" s="10" t="s">
        <v>372</v>
      </c>
      <c r="G89" s="10" t="s">
        <v>103</v>
      </c>
      <c r="H89" s="10" t="s">
        <v>35</v>
      </c>
      <c r="I89" s="15" t="s">
        <v>141</v>
      </c>
      <c r="J89" s="10" t="s">
        <v>142</v>
      </c>
      <c r="K89" s="13" t="s">
        <v>37</v>
      </c>
      <c r="L89" s="10" t="s">
        <v>55</v>
      </c>
      <c r="M89" s="10" t="s">
        <v>255</v>
      </c>
    </row>
    <row r="90" customFormat="false" ht="31.5" hidden="false" customHeight="true" outlineLevel="0" collapsed="false">
      <c r="B90" s="10" t="s">
        <v>373</v>
      </c>
      <c r="C90" s="10" t="s">
        <v>374</v>
      </c>
      <c r="D90" s="10"/>
      <c r="E90" s="10" t="s">
        <v>87</v>
      </c>
      <c r="F90" s="10" t="s">
        <v>375</v>
      </c>
      <c r="G90" s="10" t="s">
        <v>103</v>
      </c>
      <c r="H90" s="10" t="s">
        <v>35</v>
      </c>
      <c r="I90" s="15" t="s">
        <v>141</v>
      </c>
      <c r="J90" s="10" t="s">
        <v>142</v>
      </c>
      <c r="K90" s="13" t="s">
        <v>37</v>
      </c>
      <c r="L90" s="10" t="s">
        <v>55</v>
      </c>
      <c r="M90" s="10" t="s">
        <v>255</v>
      </c>
    </row>
    <row r="91" customFormat="false" ht="31.5" hidden="false" customHeight="true" outlineLevel="0" collapsed="false">
      <c r="B91" s="10" t="s">
        <v>376</v>
      </c>
      <c r="C91" s="10" t="s">
        <v>377</v>
      </c>
      <c r="D91" s="10"/>
      <c r="E91" s="10" t="s">
        <v>154</v>
      </c>
      <c r="F91" s="10" t="s">
        <v>378</v>
      </c>
      <c r="G91" s="10" t="s">
        <v>72</v>
      </c>
      <c r="H91" s="10" t="s">
        <v>35</v>
      </c>
      <c r="I91" s="11" t="s">
        <v>4</v>
      </c>
      <c r="J91" s="10" t="s">
        <v>379</v>
      </c>
      <c r="K91" s="12" t="s">
        <v>37</v>
      </c>
      <c r="L91" s="10" t="s">
        <v>38</v>
      </c>
      <c r="M91" s="10"/>
    </row>
    <row r="92" customFormat="false" ht="31.5" hidden="false" customHeight="true" outlineLevel="0" collapsed="false">
      <c r="B92" s="10" t="s">
        <v>380</v>
      </c>
      <c r="C92" s="10" t="s">
        <v>381</v>
      </c>
      <c r="D92" s="10"/>
      <c r="E92" s="10" t="s">
        <v>77</v>
      </c>
      <c r="F92" s="10" t="s">
        <v>382</v>
      </c>
      <c r="G92" s="10" t="s">
        <v>122</v>
      </c>
      <c r="H92" s="10" t="s">
        <v>35</v>
      </c>
      <c r="I92" s="15" t="s">
        <v>141</v>
      </c>
      <c r="J92" s="10" t="s">
        <v>142</v>
      </c>
      <c r="K92" s="13" t="s">
        <v>37</v>
      </c>
      <c r="L92" s="10" t="s">
        <v>55</v>
      </c>
      <c r="M92" s="10" t="s">
        <v>262</v>
      </c>
    </row>
    <row r="93" customFormat="false" ht="31.5" hidden="false" customHeight="true" outlineLevel="0" collapsed="false">
      <c r="B93" s="10" t="s">
        <v>383</v>
      </c>
      <c r="C93" s="10" t="s">
        <v>384</v>
      </c>
      <c r="D93" s="10"/>
      <c r="E93" s="10" t="s">
        <v>70</v>
      </c>
      <c r="F93" s="10" t="s">
        <v>385</v>
      </c>
      <c r="G93" s="10" t="s">
        <v>103</v>
      </c>
      <c r="H93" s="10" t="s">
        <v>35</v>
      </c>
      <c r="I93" s="15" t="s">
        <v>141</v>
      </c>
      <c r="J93" s="10" t="s">
        <v>142</v>
      </c>
      <c r="K93" s="12" t="s">
        <v>37</v>
      </c>
      <c r="L93" s="10" t="s">
        <v>37</v>
      </c>
      <c r="M93" s="10"/>
    </row>
    <row r="94" customFormat="false" ht="31.5" hidden="false" customHeight="true" outlineLevel="0" collapsed="false">
      <c r="B94" s="10" t="s">
        <v>386</v>
      </c>
      <c r="C94" s="10" t="s">
        <v>387</v>
      </c>
      <c r="D94" s="10"/>
      <c r="E94" s="10" t="s">
        <v>246</v>
      </c>
      <c r="F94" s="10" t="s">
        <v>388</v>
      </c>
      <c r="G94" s="10" t="s">
        <v>103</v>
      </c>
      <c r="H94" s="10" t="s">
        <v>35</v>
      </c>
      <c r="I94" s="15" t="s">
        <v>141</v>
      </c>
      <c r="J94" s="10" t="s">
        <v>142</v>
      </c>
      <c r="K94" s="13" t="s">
        <v>37</v>
      </c>
      <c r="L94" s="10" t="s">
        <v>55</v>
      </c>
      <c r="M94" s="10" t="s">
        <v>262</v>
      </c>
    </row>
    <row r="95" customFormat="false" ht="31.5" hidden="false" customHeight="true" outlineLevel="0" collapsed="false">
      <c r="B95" s="10" t="s">
        <v>389</v>
      </c>
      <c r="C95" s="10" t="s">
        <v>390</v>
      </c>
      <c r="D95" s="10"/>
      <c r="E95" s="10" t="s">
        <v>154</v>
      </c>
      <c r="F95" s="10" t="s">
        <v>391</v>
      </c>
      <c r="G95" s="10" t="s">
        <v>34</v>
      </c>
      <c r="H95" s="10" t="s">
        <v>35</v>
      </c>
      <c r="I95" s="15" t="s">
        <v>141</v>
      </c>
      <c r="J95" s="10" t="s">
        <v>142</v>
      </c>
      <c r="K95" s="12" t="s">
        <v>37</v>
      </c>
      <c r="L95" s="10" t="s">
        <v>38</v>
      </c>
      <c r="M95" s="10"/>
    </row>
    <row r="96" customFormat="false" ht="31.5" hidden="false" customHeight="true" outlineLevel="0" collapsed="false">
      <c r="B96" s="10" t="s">
        <v>392</v>
      </c>
      <c r="C96" s="10" t="s">
        <v>393</v>
      </c>
      <c r="D96" s="10"/>
      <c r="E96" s="10" t="s">
        <v>50</v>
      </c>
      <c r="F96" s="10" t="s">
        <v>394</v>
      </c>
      <c r="G96" s="10" t="s">
        <v>52</v>
      </c>
      <c r="H96" s="10" t="s">
        <v>35</v>
      </c>
      <c r="I96" s="15" t="s">
        <v>141</v>
      </c>
      <c r="J96" s="10" t="s">
        <v>142</v>
      </c>
      <c r="K96" s="12" t="s">
        <v>37</v>
      </c>
      <c r="L96" s="10" t="s">
        <v>38</v>
      </c>
      <c r="M96" s="10"/>
    </row>
    <row r="97" customFormat="false" ht="31.5" hidden="false" customHeight="true" outlineLevel="0" collapsed="false">
      <c r="B97" s="10" t="s">
        <v>395</v>
      </c>
      <c r="C97" s="10" t="s">
        <v>396</v>
      </c>
      <c r="D97" s="10"/>
      <c r="E97" s="10" t="s">
        <v>197</v>
      </c>
      <c r="F97" s="10" t="s">
        <v>397</v>
      </c>
      <c r="G97" s="10" t="s">
        <v>103</v>
      </c>
      <c r="H97" s="10" t="s">
        <v>35</v>
      </c>
      <c r="I97" s="11" t="s">
        <v>4</v>
      </c>
      <c r="J97" s="10" t="s">
        <v>398</v>
      </c>
      <c r="K97" s="13" t="s">
        <v>37</v>
      </c>
      <c r="L97" s="10" t="s">
        <v>55</v>
      </c>
      <c r="M97" s="10" t="s">
        <v>399</v>
      </c>
    </row>
    <row r="98" customFormat="false" ht="31.5" hidden="false" customHeight="true" outlineLevel="0" collapsed="false">
      <c r="B98" s="10" t="s">
        <v>400</v>
      </c>
      <c r="C98" s="10" t="s">
        <v>401</v>
      </c>
      <c r="D98" s="10"/>
      <c r="E98" s="10" t="s">
        <v>32</v>
      </c>
      <c r="F98" s="10" t="s">
        <v>402</v>
      </c>
      <c r="G98" s="10" t="s">
        <v>103</v>
      </c>
      <c r="H98" s="10" t="s">
        <v>35</v>
      </c>
      <c r="I98" s="15" t="s">
        <v>141</v>
      </c>
      <c r="J98" s="10" t="s">
        <v>142</v>
      </c>
      <c r="K98" s="12" t="s">
        <v>37</v>
      </c>
      <c r="L98" s="10" t="s">
        <v>37</v>
      </c>
      <c r="M98" s="10"/>
    </row>
    <row r="99" customFormat="false" ht="31.5" hidden="false" customHeight="true" outlineLevel="0" collapsed="false">
      <c r="B99" s="10" t="s">
        <v>403</v>
      </c>
      <c r="C99" s="10" t="s">
        <v>404</v>
      </c>
      <c r="D99" s="10"/>
      <c r="E99" s="10" t="s">
        <v>135</v>
      </c>
      <c r="F99" s="10" t="s">
        <v>405</v>
      </c>
      <c r="G99" s="10" t="s">
        <v>122</v>
      </c>
      <c r="H99" s="10" t="s">
        <v>35</v>
      </c>
      <c r="I99" s="15" t="s">
        <v>141</v>
      </c>
      <c r="J99" s="10" t="s">
        <v>142</v>
      </c>
      <c r="K99" s="13" t="s">
        <v>37</v>
      </c>
      <c r="L99" s="10" t="s">
        <v>55</v>
      </c>
      <c r="M99" s="10" t="s">
        <v>262</v>
      </c>
    </row>
    <row r="100" customFormat="false" ht="31.5" hidden="false" customHeight="true" outlineLevel="0" collapsed="false">
      <c r="B100" s="10" t="s">
        <v>406</v>
      </c>
      <c r="C100" s="10" t="s">
        <v>407</v>
      </c>
      <c r="D100" s="10"/>
      <c r="E100" s="10" t="s">
        <v>87</v>
      </c>
      <c r="F100" s="10" t="s">
        <v>408</v>
      </c>
      <c r="G100" s="10" t="s">
        <v>72</v>
      </c>
      <c r="H100" s="10" t="s">
        <v>35</v>
      </c>
      <c r="I100" s="15" t="s">
        <v>141</v>
      </c>
      <c r="J100" s="10" t="s">
        <v>142</v>
      </c>
      <c r="K100" s="12" t="s">
        <v>37</v>
      </c>
      <c r="L100" s="10" t="s">
        <v>37</v>
      </c>
      <c r="M100" s="10"/>
    </row>
    <row r="101" customFormat="false" ht="31.5" hidden="false" customHeight="true" outlineLevel="0" collapsed="false">
      <c r="B101" s="10" t="s">
        <v>409</v>
      </c>
      <c r="C101" s="10" t="s">
        <v>410</v>
      </c>
      <c r="D101" s="10"/>
      <c r="E101" s="10" t="s">
        <v>154</v>
      </c>
      <c r="F101" s="10" t="s">
        <v>411</v>
      </c>
      <c r="G101" s="10" t="s">
        <v>103</v>
      </c>
      <c r="H101" s="10" t="s">
        <v>35</v>
      </c>
      <c r="I101" s="15" t="s">
        <v>141</v>
      </c>
      <c r="J101" s="10" t="s">
        <v>142</v>
      </c>
      <c r="K101" s="12" t="s">
        <v>37</v>
      </c>
      <c r="L101" s="10" t="s">
        <v>37</v>
      </c>
      <c r="M101" s="10" t="s">
        <v>159</v>
      </c>
    </row>
    <row r="102" customFormat="false" ht="31.5" hidden="false" customHeight="true" outlineLevel="0" collapsed="false">
      <c r="B102" s="10" t="s">
        <v>412</v>
      </c>
      <c r="C102" s="10" t="s">
        <v>413</v>
      </c>
      <c r="D102" s="10"/>
      <c r="E102" s="10" t="s">
        <v>154</v>
      </c>
      <c r="F102" s="10" t="s">
        <v>411</v>
      </c>
      <c r="G102" s="10" t="s">
        <v>103</v>
      </c>
      <c r="H102" s="10" t="s">
        <v>35</v>
      </c>
      <c r="I102" s="15" t="s">
        <v>141</v>
      </c>
      <c r="J102" s="10" t="s">
        <v>142</v>
      </c>
      <c r="K102" s="12" t="s">
        <v>37</v>
      </c>
      <c r="L102" s="10" t="s">
        <v>37</v>
      </c>
      <c r="M102" s="10" t="s">
        <v>414</v>
      </c>
    </row>
    <row r="103" customFormat="false" ht="31.5" hidden="false" customHeight="true" outlineLevel="0" collapsed="false">
      <c r="B103" s="10" t="s">
        <v>415</v>
      </c>
      <c r="C103" s="10" t="s">
        <v>416</v>
      </c>
      <c r="D103" s="10"/>
      <c r="E103" s="10" t="s">
        <v>135</v>
      </c>
      <c r="F103" s="10" t="s">
        <v>417</v>
      </c>
      <c r="G103" s="10" t="s">
        <v>103</v>
      </c>
      <c r="H103" s="10" t="s">
        <v>35</v>
      </c>
      <c r="I103" s="15" t="s">
        <v>141</v>
      </c>
      <c r="J103" s="10" t="s">
        <v>142</v>
      </c>
      <c r="K103" s="13" t="s">
        <v>37</v>
      </c>
      <c r="L103" s="10" t="s">
        <v>55</v>
      </c>
      <c r="M103" s="10" t="s">
        <v>262</v>
      </c>
    </row>
    <row r="104" customFormat="false" ht="31.5" hidden="false" customHeight="true" outlineLevel="0" collapsed="false">
      <c r="B104" s="10" t="s">
        <v>418</v>
      </c>
      <c r="C104" s="10" t="s">
        <v>419</v>
      </c>
      <c r="D104" s="10"/>
      <c r="E104" s="10" t="s">
        <v>59</v>
      </c>
      <c r="F104" s="10" t="s">
        <v>420</v>
      </c>
      <c r="G104" s="10" t="s">
        <v>52</v>
      </c>
      <c r="H104" s="10" t="s">
        <v>35</v>
      </c>
      <c r="I104" s="15" t="s">
        <v>141</v>
      </c>
      <c r="J104" s="10" t="s">
        <v>142</v>
      </c>
      <c r="K104" s="12" t="s">
        <v>37</v>
      </c>
      <c r="L104" s="10" t="s">
        <v>38</v>
      </c>
      <c r="M104" s="10" t="s">
        <v>421</v>
      </c>
    </row>
    <row r="105" customFormat="false" ht="31.5" hidden="false" customHeight="true" outlineLevel="0" collapsed="false">
      <c r="B105" s="10" t="s">
        <v>422</v>
      </c>
      <c r="C105" s="10" t="s">
        <v>423</v>
      </c>
      <c r="D105" s="10"/>
      <c r="E105" s="10" t="s">
        <v>154</v>
      </c>
      <c r="F105" s="10" t="s">
        <v>411</v>
      </c>
      <c r="G105" s="10" t="s">
        <v>103</v>
      </c>
      <c r="H105" s="10" t="s">
        <v>35</v>
      </c>
      <c r="I105" s="15" t="s">
        <v>141</v>
      </c>
      <c r="J105" s="10" t="s">
        <v>142</v>
      </c>
      <c r="K105" s="12" t="s">
        <v>37</v>
      </c>
      <c r="L105" s="10" t="s">
        <v>37</v>
      </c>
      <c r="M105" s="10" t="s">
        <v>424</v>
      </c>
    </row>
    <row r="106" customFormat="false" ht="31.5" hidden="false" customHeight="true" outlineLevel="0" collapsed="false">
      <c r="B106" s="10" t="s">
        <v>425</v>
      </c>
      <c r="C106" s="10" t="s">
        <v>426</v>
      </c>
      <c r="D106" s="10"/>
      <c r="E106" s="10" t="s">
        <v>50</v>
      </c>
      <c r="F106" s="10" t="s">
        <v>355</v>
      </c>
      <c r="G106" s="10" t="s">
        <v>52</v>
      </c>
      <c r="H106" s="10" t="s">
        <v>35</v>
      </c>
      <c r="I106" s="15" t="s">
        <v>141</v>
      </c>
      <c r="J106" s="10" t="s">
        <v>142</v>
      </c>
      <c r="K106" s="12" t="s">
        <v>37</v>
      </c>
      <c r="L106" s="10" t="s">
        <v>38</v>
      </c>
      <c r="M106" s="10" t="s">
        <v>427</v>
      </c>
    </row>
    <row r="107" customFormat="false" ht="31.5" hidden="false" customHeight="true" outlineLevel="0" collapsed="false">
      <c r="B107" s="10" t="s">
        <v>428</v>
      </c>
      <c r="C107" s="10" t="s">
        <v>429</v>
      </c>
      <c r="D107" s="10"/>
      <c r="E107" s="10" t="s">
        <v>77</v>
      </c>
      <c r="F107" s="10" t="s">
        <v>430</v>
      </c>
      <c r="G107" s="10" t="s">
        <v>103</v>
      </c>
      <c r="H107" s="10" t="s">
        <v>35</v>
      </c>
      <c r="I107" s="15" t="s">
        <v>141</v>
      </c>
      <c r="J107" s="10" t="s">
        <v>142</v>
      </c>
      <c r="K107" s="13" t="s">
        <v>37</v>
      </c>
      <c r="L107" s="10" t="s">
        <v>55</v>
      </c>
      <c r="M107" s="10" t="s">
        <v>262</v>
      </c>
    </row>
    <row r="108" customFormat="false" ht="31.5" hidden="false" customHeight="true" outlineLevel="0" collapsed="false">
      <c r="B108" s="10" t="s">
        <v>431</v>
      </c>
      <c r="C108" s="10" t="s">
        <v>432</v>
      </c>
      <c r="D108" s="10"/>
      <c r="E108" s="10" t="s">
        <v>154</v>
      </c>
      <c r="F108" s="10" t="s">
        <v>433</v>
      </c>
      <c r="G108" s="10" t="s">
        <v>103</v>
      </c>
      <c r="H108" s="10" t="s">
        <v>35</v>
      </c>
      <c r="I108" s="15" t="s">
        <v>141</v>
      </c>
      <c r="J108" s="10" t="s">
        <v>142</v>
      </c>
      <c r="K108" s="12" t="s">
        <v>37</v>
      </c>
      <c r="L108" s="10" t="s">
        <v>37</v>
      </c>
      <c r="M108" s="10" t="s">
        <v>434</v>
      </c>
    </row>
    <row r="109" customFormat="false" ht="31.5" hidden="false" customHeight="true" outlineLevel="0" collapsed="false">
      <c r="B109" s="10" t="s">
        <v>435</v>
      </c>
      <c r="C109" s="10" t="s">
        <v>436</v>
      </c>
      <c r="D109" s="10"/>
      <c r="E109" s="10" t="s">
        <v>154</v>
      </c>
      <c r="F109" s="10" t="s">
        <v>433</v>
      </c>
      <c r="G109" s="10" t="s">
        <v>103</v>
      </c>
      <c r="H109" s="10" t="s">
        <v>35</v>
      </c>
      <c r="I109" s="15" t="s">
        <v>141</v>
      </c>
      <c r="J109" s="10" t="s">
        <v>142</v>
      </c>
      <c r="K109" s="13" t="s">
        <v>37</v>
      </c>
      <c r="L109" s="10" t="s">
        <v>55</v>
      </c>
      <c r="M109" s="10" t="s">
        <v>437</v>
      </c>
    </row>
    <row r="110" customFormat="false" ht="31.5" hidden="false" customHeight="true" outlineLevel="0" collapsed="false">
      <c r="B110" s="10" t="s">
        <v>438</v>
      </c>
      <c r="C110" s="10" t="s">
        <v>439</v>
      </c>
      <c r="D110" s="10"/>
      <c r="E110" s="10" t="s">
        <v>295</v>
      </c>
      <c r="F110" s="10" t="s">
        <v>440</v>
      </c>
      <c r="G110" s="10" t="s">
        <v>44</v>
      </c>
      <c r="H110" s="10" t="s">
        <v>35</v>
      </c>
      <c r="I110" s="15" t="s">
        <v>141</v>
      </c>
      <c r="J110" s="10" t="s">
        <v>142</v>
      </c>
      <c r="K110" s="12" t="s">
        <v>37</v>
      </c>
      <c r="L110" s="10" t="s">
        <v>37</v>
      </c>
      <c r="M110" s="10"/>
    </row>
    <row r="111" customFormat="false" ht="31.5" hidden="false" customHeight="true" outlineLevel="0" collapsed="false">
      <c r="B111" s="10" t="s">
        <v>441</v>
      </c>
      <c r="C111" s="10" t="s">
        <v>442</v>
      </c>
      <c r="D111" s="10"/>
      <c r="E111" s="10" t="s">
        <v>42</v>
      </c>
      <c r="F111" s="10" t="s">
        <v>443</v>
      </c>
      <c r="G111" s="10" t="s">
        <v>34</v>
      </c>
      <c r="H111" s="10" t="s">
        <v>35</v>
      </c>
      <c r="I111" s="15" t="s">
        <v>141</v>
      </c>
      <c r="J111" s="10" t="s">
        <v>142</v>
      </c>
      <c r="K111" s="12" t="s">
        <v>37</v>
      </c>
      <c r="L111" s="10" t="s">
        <v>38</v>
      </c>
      <c r="M111" s="10" t="s">
        <v>444</v>
      </c>
    </row>
    <row r="112" customFormat="false" ht="31.5" hidden="false" customHeight="true" outlineLevel="0" collapsed="false">
      <c r="B112" s="10" t="s">
        <v>445</v>
      </c>
      <c r="C112" s="10" t="s">
        <v>446</v>
      </c>
      <c r="D112" s="10"/>
      <c r="E112" s="10" t="s">
        <v>246</v>
      </c>
      <c r="F112" s="10" t="s">
        <v>447</v>
      </c>
      <c r="G112" s="10" t="s">
        <v>103</v>
      </c>
      <c r="H112" s="10" t="s">
        <v>35</v>
      </c>
      <c r="I112" s="13" t="s">
        <v>45</v>
      </c>
      <c r="J112" s="10" t="s">
        <v>448</v>
      </c>
      <c r="K112" s="12" t="s">
        <v>37</v>
      </c>
      <c r="L112" s="10" t="s">
        <v>37</v>
      </c>
      <c r="M112" s="10"/>
    </row>
    <row r="113" customFormat="false" ht="31.5" hidden="false" customHeight="true" outlineLevel="0" collapsed="false">
      <c r="B113" s="10" t="s">
        <v>449</v>
      </c>
      <c r="C113" s="10" t="s">
        <v>450</v>
      </c>
      <c r="D113" s="10"/>
      <c r="E113" s="10" t="s">
        <v>135</v>
      </c>
      <c r="F113" s="10" t="s">
        <v>451</v>
      </c>
      <c r="G113" s="10" t="s">
        <v>34</v>
      </c>
      <c r="H113" s="10" t="s">
        <v>35</v>
      </c>
      <c r="I113" s="13" t="s">
        <v>45</v>
      </c>
      <c r="J113" s="10" t="s">
        <v>452</v>
      </c>
      <c r="K113" s="12" t="s">
        <v>37</v>
      </c>
      <c r="L113" s="10" t="s">
        <v>38</v>
      </c>
      <c r="M113" s="10" t="s">
        <v>444</v>
      </c>
    </row>
    <row r="114" customFormat="false" ht="31.5" hidden="false" customHeight="true" outlineLevel="0" collapsed="false">
      <c r="B114" s="10" t="s">
        <v>453</v>
      </c>
      <c r="C114" s="10" t="s">
        <v>454</v>
      </c>
      <c r="D114" s="10"/>
      <c r="E114" s="10" t="s">
        <v>50</v>
      </c>
      <c r="F114" s="10" t="s">
        <v>455</v>
      </c>
      <c r="G114" s="10" t="s">
        <v>52</v>
      </c>
      <c r="H114" s="10" t="s">
        <v>35</v>
      </c>
      <c r="I114" s="15" t="s">
        <v>141</v>
      </c>
      <c r="J114" s="10" t="s">
        <v>142</v>
      </c>
      <c r="K114" s="12" t="s">
        <v>37</v>
      </c>
      <c r="L114" s="10" t="s">
        <v>38</v>
      </c>
      <c r="M114" s="10"/>
    </row>
    <row r="115" customFormat="false" ht="31.5" hidden="false" customHeight="true" outlineLevel="0" collapsed="false">
      <c r="B115" s="10" t="s">
        <v>456</v>
      </c>
      <c r="C115" s="10" t="s">
        <v>457</v>
      </c>
      <c r="D115" s="10"/>
      <c r="E115" s="10" t="s">
        <v>50</v>
      </c>
      <c r="F115" s="10" t="s">
        <v>236</v>
      </c>
      <c r="G115" s="10" t="s">
        <v>52</v>
      </c>
      <c r="H115" s="10" t="s">
        <v>35</v>
      </c>
      <c r="I115" s="15" t="s">
        <v>141</v>
      </c>
      <c r="J115" s="10" t="s">
        <v>142</v>
      </c>
      <c r="K115" s="12" t="s">
        <v>37</v>
      </c>
      <c r="L115" s="10" t="s">
        <v>38</v>
      </c>
      <c r="M115" s="10" t="s">
        <v>458</v>
      </c>
    </row>
    <row r="116" customFormat="false" ht="31.5" hidden="false" customHeight="true" outlineLevel="0" collapsed="false">
      <c r="B116" s="10" t="s">
        <v>459</v>
      </c>
      <c r="C116" s="10" t="s">
        <v>460</v>
      </c>
      <c r="D116" s="10"/>
      <c r="E116" s="10" t="s">
        <v>50</v>
      </c>
      <c r="F116" s="10" t="s">
        <v>461</v>
      </c>
      <c r="G116" s="10" t="s">
        <v>52</v>
      </c>
      <c r="H116" s="10" t="s">
        <v>35</v>
      </c>
      <c r="I116" s="15" t="s">
        <v>141</v>
      </c>
      <c r="J116" s="10" t="s">
        <v>142</v>
      </c>
      <c r="K116" s="12" t="s">
        <v>37</v>
      </c>
      <c r="L116" s="10" t="s">
        <v>38</v>
      </c>
      <c r="M116" s="10"/>
    </row>
    <row r="117" customFormat="false" ht="31.5" hidden="false" customHeight="true" outlineLevel="0" collapsed="false">
      <c r="B117" s="10" t="s">
        <v>462</v>
      </c>
      <c r="C117" s="10" t="s">
        <v>463</v>
      </c>
      <c r="D117" s="10"/>
      <c r="E117" s="10" t="s">
        <v>42</v>
      </c>
      <c r="F117" s="10" t="s">
        <v>464</v>
      </c>
      <c r="G117" s="10" t="s">
        <v>103</v>
      </c>
      <c r="H117" s="10" t="s">
        <v>35</v>
      </c>
      <c r="I117" s="15" t="s">
        <v>141</v>
      </c>
      <c r="J117" s="10" t="s">
        <v>142</v>
      </c>
      <c r="K117" s="12" t="s">
        <v>37</v>
      </c>
      <c r="L117" s="10" t="s">
        <v>37</v>
      </c>
      <c r="M117" s="10"/>
    </row>
    <row r="118" customFormat="false" ht="31.5" hidden="false" customHeight="true" outlineLevel="0" collapsed="false">
      <c r="B118" s="10" t="s">
        <v>465</v>
      </c>
      <c r="C118" s="10" t="s">
        <v>466</v>
      </c>
      <c r="D118" s="10"/>
      <c r="E118" s="10" t="s">
        <v>467</v>
      </c>
      <c r="F118" s="10" t="s">
        <v>468</v>
      </c>
      <c r="G118" s="10" t="s">
        <v>103</v>
      </c>
      <c r="H118" s="10" t="s">
        <v>35</v>
      </c>
      <c r="I118" s="13" t="s">
        <v>45</v>
      </c>
      <c r="J118" s="10" t="s">
        <v>469</v>
      </c>
      <c r="K118" s="13" t="s">
        <v>37</v>
      </c>
      <c r="L118" s="10" t="s">
        <v>55</v>
      </c>
      <c r="M118" s="10" t="s">
        <v>262</v>
      </c>
    </row>
    <row r="119" customFormat="false" ht="31.5" hidden="false" customHeight="true" outlineLevel="0" collapsed="false">
      <c r="B119" s="10" t="s">
        <v>470</v>
      </c>
      <c r="C119" s="10" t="s">
        <v>471</v>
      </c>
      <c r="D119" s="10"/>
      <c r="E119" s="10" t="s">
        <v>59</v>
      </c>
      <c r="F119" s="10" t="s">
        <v>420</v>
      </c>
      <c r="G119" s="10" t="s">
        <v>52</v>
      </c>
      <c r="H119" s="10" t="s">
        <v>35</v>
      </c>
      <c r="I119" s="15" t="s">
        <v>141</v>
      </c>
      <c r="J119" s="10" t="s">
        <v>142</v>
      </c>
      <c r="K119" s="12" t="s">
        <v>37</v>
      </c>
      <c r="L119" s="10" t="s">
        <v>38</v>
      </c>
      <c r="M119" s="10" t="s">
        <v>458</v>
      </c>
    </row>
    <row r="120" customFormat="false" ht="31.5" hidden="false" customHeight="true" outlineLevel="0" collapsed="false">
      <c r="B120" s="10" t="s">
        <v>472</v>
      </c>
      <c r="C120" s="10" t="s">
        <v>473</v>
      </c>
      <c r="D120" s="10"/>
      <c r="E120" s="10" t="s">
        <v>197</v>
      </c>
      <c r="F120" s="10" t="s">
        <v>474</v>
      </c>
      <c r="G120" s="10" t="s">
        <v>52</v>
      </c>
      <c r="H120" s="10" t="s">
        <v>35</v>
      </c>
      <c r="I120" s="15" t="s">
        <v>141</v>
      </c>
      <c r="J120" s="10" t="s">
        <v>142</v>
      </c>
      <c r="K120" s="12" t="s">
        <v>37</v>
      </c>
      <c r="L120" s="10" t="s">
        <v>38</v>
      </c>
      <c r="M120" s="10"/>
    </row>
    <row r="121" customFormat="false" ht="31.5" hidden="false" customHeight="true" outlineLevel="0" collapsed="false">
      <c r="B121" s="10" t="s">
        <v>475</v>
      </c>
      <c r="C121" s="10" t="s">
        <v>476</v>
      </c>
      <c r="D121" s="10"/>
      <c r="E121" s="10" t="s">
        <v>42</v>
      </c>
      <c r="F121" s="10" t="s">
        <v>477</v>
      </c>
      <c r="G121" s="10" t="s">
        <v>103</v>
      </c>
      <c r="H121" s="10" t="s">
        <v>35</v>
      </c>
      <c r="I121" s="15" t="s">
        <v>141</v>
      </c>
      <c r="J121" s="10" t="s">
        <v>142</v>
      </c>
      <c r="K121" s="12" t="s">
        <v>37</v>
      </c>
      <c r="L121" s="10" t="s">
        <v>37</v>
      </c>
      <c r="M121" s="10"/>
    </row>
    <row r="122" customFormat="false" ht="31.5" hidden="false" customHeight="true" outlineLevel="0" collapsed="false">
      <c r="B122" s="10" t="s">
        <v>478</v>
      </c>
      <c r="C122" s="10" t="s">
        <v>479</v>
      </c>
      <c r="D122" s="10"/>
      <c r="E122" s="10" t="s">
        <v>135</v>
      </c>
      <c r="F122" s="10" t="s">
        <v>250</v>
      </c>
      <c r="G122" s="10" t="s">
        <v>122</v>
      </c>
      <c r="H122" s="10" t="s">
        <v>35</v>
      </c>
      <c r="I122" s="15" t="s">
        <v>141</v>
      </c>
      <c r="J122" s="10" t="s">
        <v>142</v>
      </c>
      <c r="K122" s="13" t="s">
        <v>37</v>
      </c>
      <c r="L122" s="10" t="s">
        <v>55</v>
      </c>
      <c r="M122" s="10" t="s">
        <v>480</v>
      </c>
    </row>
    <row r="123" customFormat="false" ht="31.5" hidden="false" customHeight="true" outlineLevel="0" collapsed="false">
      <c r="B123" s="10" t="s">
        <v>481</v>
      </c>
      <c r="C123" s="10" t="s">
        <v>482</v>
      </c>
      <c r="D123" s="10"/>
      <c r="E123" s="10" t="s">
        <v>295</v>
      </c>
      <c r="F123" s="10" t="s">
        <v>483</v>
      </c>
      <c r="G123" s="10" t="s">
        <v>103</v>
      </c>
      <c r="H123" s="10" t="s">
        <v>35</v>
      </c>
      <c r="I123" s="13" t="s">
        <v>45</v>
      </c>
      <c r="J123" s="10" t="s">
        <v>484</v>
      </c>
      <c r="K123" s="13" t="s">
        <v>37</v>
      </c>
      <c r="L123" s="10" t="s">
        <v>55</v>
      </c>
      <c r="M123" s="10" t="s">
        <v>262</v>
      </c>
    </row>
    <row r="124" customFormat="false" ht="31.5" hidden="false" customHeight="true" outlineLevel="0" collapsed="false">
      <c r="B124" s="10" t="s">
        <v>485</v>
      </c>
      <c r="C124" s="10" t="s">
        <v>486</v>
      </c>
      <c r="D124" s="10"/>
      <c r="E124" s="10" t="s">
        <v>59</v>
      </c>
      <c r="F124" s="10" t="s">
        <v>487</v>
      </c>
      <c r="G124" s="10" t="s">
        <v>122</v>
      </c>
      <c r="H124" s="10" t="s">
        <v>35</v>
      </c>
      <c r="I124" s="15" t="s">
        <v>141</v>
      </c>
      <c r="J124" s="10" t="s">
        <v>142</v>
      </c>
      <c r="K124" s="13" t="s">
        <v>37</v>
      </c>
      <c r="L124" s="10" t="s">
        <v>55</v>
      </c>
      <c r="M124" s="10" t="s">
        <v>255</v>
      </c>
    </row>
    <row r="125" customFormat="false" ht="31.5" hidden="false" customHeight="true" outlineLevel="0" collapsed="false">
      <c r="B125" s="10" t="s">
        <v>488</v>
      </c>
      <c r="C125" s="10" t="s">
        <v>489</v>
      </c>
      <c r="D125" s="10"/>
      <c r="E125" s="10" t="s">
        <v>42</v>
      </c>
      <c r="F125" s="10" t="s">
        <v>490</v>
      </c>
      <c r="G125" s="10" t="s">
        <v>34</v>
      </c>
      <c r="H125" s="10" t="s">
        <v>35</v>
      </c>
      <c r="I125" s="15" t="s">
        <v>141</v>
      </c>
      <c r="J125" s="10" t="s">
        <v>142</v>
      </c>
      <c r="K125" s="12" t="s">
        <v>37</v>
      </c>
      <c r="L125" s="10" t="s">
        <v>38</v>
      </c>
      <c r="M125" s="10"/>
    </row>
    <row r="126" customFormat="false" ht="31.5" hidden="false" customHeight="true" outlineLevel="0" collapsed="false">
      <c r="B126" s="10" t="s">
        <v>491</v>
      </c>
      <c r="C126" s="10" t="s">
        <v>492</v>
      </c>
      <c r="D126" s="10"/>
      <c r="E126" s="10" t="s">
        <v>70</v>
      </c>
      <c r="F126" s="10" t="s">
        <v>493</v>
      </c>
      <c r="G126" s="10" t="s">
        <v>103</v>
      </c>
      <c r="H126" s="10" t="s">
        <v>35</v>
      </c>
      <c r="I126" s="15" t="s">
        <v>141</v>
      </c>
      <c r="J126" s="10" t="s">
        <v>142</v>
      </c>
      <c r="K126" s="12" t="s">
        <v>37</v>
      </c>
      <c r="L126" s="10" t="s">
        <v>37</v>
      </c>
      <c r="M126" s="10"/>
    </row>
    <row r="127" customFormat="false" ht="31.5" hidden="false" customHeight="true" outlineLevel="0" collapsed="false">
      <c r="B127" s="10" t="s">
        <v>494</v>
      </c>
      <c r="C127" s="10" t="s">
        <v>495</v>
      </c>
      <c r="D127" s="10"/>
      <c r="E127" s="10" t="s">
        <v>197</v>
      </c>
      <c r="F127" s="10" t="s">
        <v>496</v>
      </c>
      <c r="G127" s="10" t="s">
        <v>103</v>
      </c>
      <c r="H127" s="10" t="s">
        <v>35</v>
      </c>
      <c r="I127" s="15" t="s">
        <v>141</v>
      </c>
      <c r="J127" s="10" t="s">
        <v>142</v>
      </c>
      <c r="K127" s="12" t="s">
        <v>37</v>
      </c>
      <c r="L127" s="10" t="s">
        <v>37</v>
      </c>
      <c r="M127" s="10"/>
    </row>
    <row r="128" customFormat="false" ht="31.5" hidden="false" customHeight="true" outlineLevel="0" collapsed="false">
      <c r="B128" s="10" t="s">
        <v>497</v>
      </c>
      <c r="C128" s="10" t="s">
        <v>498</v>
      </c>
      <c r="D128" s="10"/>
      <c r="E128" s="10" t="s">
        <v>42</v>
      </c>
      <c r="F128" s="10" t="s">
        <v>499</v>
      </c>
      <c r="G128" s="10" t="s">
        <v>52</v>
      </c>
      <c r="H128" s="10" t="s">
        <v>35</v>
      </c>
      <c r="I128" s="15" t="s">
        <v>141</v>
      </c>
      <c r="J128" s="10" t="s">
        <v>142</v>
      </c>
      <c r="K128" s="12" t="s">
        <v>37</v>
      </c>
      <c r="L128" s="10" t="s">
        <v>38</v>
      </c>
      <c r="M128" s="10"/>
    </row>
    <row r="129" customFormat="false" ht="31.5" hidden="false" customHeight="true" outlineLevel="0" collapsed="false">
      <c r="B129" s="10" t="s">
        <v>500</v>
      </c>
      <c r="C129" s="10" t="s">
        <v>501</v>
      </c>
      <c r="D129" s="10"/>
      <c r="E129" s="10" t="s">
        <v>114</v>
      </c>
      <c r="F129" s="10" t="s">
        <v>502</v>
      </c>
      <c r="G129" s="10" t="s">
        <v>103</v>
      </c>
      <c r="H129" s="10" t="s">
        <v>35</v>
      </c>
      <c r="I129" s="15" t="s">
        <v>141</v>
      </c>
      <c r="J129" s="10" t="s">
        <v>142</v>
      </c>
      <c r="K129" s="12" t="s">
        <v>37</v>
      </c>
      <c r="L129" s="10" t="s">
        <v>37</v>
      </c>
      <c r="M129" s="10"/>
    </row>
    <row r="130" customFormat="false" ht="31.5" hidden="false" customHeight="true" outlineLevel="0" collapsed="false">
      <c r="B130" s="10" t="s">
        <v>503</v>
      </c>
      <c r="C130" s="10" t="s">
        <v>504</v>
      </c>
      <c r="D130" s="10"/>
      <c r="E130" s="10" t="s">
        <v>114</v>
      </c>
      <c r="F130" s="10" t="s">
        <v>505</v>
      </c>
      <c r="G130" s="10" t="s">
        <v>103</v>
      </c>
      <c r="H130" s="10" t="s">
        <v>35</v>
      </c>
      <c r="I130" s="13" t="s">
        <v>45</v>
      </c>
      <c r="J130" s="10" t="s">
        <v>506</v>
      </c>
      <c r="K130" s="13" t="s">
        <v>37</v>
      </c>
      <c r="L130" s="10" t="s">
        <v>55</v>
      </c>
      <c r="M130" s="10" t="s">
        <v>507</v>
      </c>
    </row>
    <row r="131" customFormat="false" ht="31.5" hidden="false" customHeight="true" outlineLevel="0" collapsed="false">
      <c r="B131" s="10" t="s">
        <v>508</v>
      </c>
      <c r="C131" s="10" t="s">
        <v>509</v>
      </c>
      <c r="D131" s="10"/>
      <c r="E131" s="10" t="s">
        <v>59</v>
      </c>
      <c r="F131" s="10" t="s">
        <v>510</v>
      </c>
      <c r="G131" s="10" t="s">
        <v>44</v>
      </c>
      <c r="H131" s="10" t="s">
        <v>35</v>
      </c>
      <c r="I131" s="11" t="s">
        <v>4</v>
      </c>
      <c r="J131" s="10" t="s">
        <v>511</v>
      </c>
      <c r="K131" s="12" t="s">
        <v>37</v>
      </c>
      <c r="L131" s="10" t="s">
        <v>38</v>
      </c>
      <c r="M131" s="10" t="s">
        <v>512</v>
      </c>
    </row>
    <row r="132" customFormat="false" ht="31.5" hidden="false" customHeight="true" outlineLevel="0" collapsed="false">
      <c r="B132" s="10" t="s">
        <v>513</v>
      </c>
      <c r="C132" s="10" t="s">
        <v>514</v>
      </c>
      <c r="D132" s="10"/>
      <c r="E132" s="10" t="s">
        <v>59</v>
      </c>
      <c r="F132" s="10" t="s">
        <v>515</v>
      </c>
      <c r="G132" s="10" t="s">
        <v>122</v>
      </c>
      <c r="H132" s="10" t="s">
        <v>35</v>
      </c>
      <c r="I132" s="15" t="s">
        <v>141</v>
      </c>
      <c r="J132" s="10" t="s">
        <v>142</v>
      </c>
      <c r="K132" s="13" t="s">
        <v>37</v>
      </c>
      <c r="L132" s="10" t="s">
        <v>55</v>
      </c>
      <c r="M132" s="10" t="s">
        <v>262</v>
      </c>
    </row>
    <row r="133" customFormat="false" ht="31.5" hidden="false" customHeight="true" outlineLevel="0" collapsed="false">
      <c r="B133" s="10" t="s">
        <v>516</v>
      </c>
      <c r="C133" s="10" t="s">
        <v>517</v>
      </c>
      <c r="D133" s="10"/>
      <c r="E133" s="10" t="s">
        <v>50</v>
      </c>
      <c r="F133" s="10" t="s">
        <v>518</v>
      </c>
      <c r="G133" s="10" t="s">
        <v>52</v>
      </c>
      <c r="H133" s="10" t="s">
        <v>35</v>
      </c>
      <c r="I133" s="15" t="s">
        <v>141</v>
      </c>
      <c r="J133" s="10" t="s">
        <v>142</v>
      </c>
      <c r="K133" s="12" t="s">
        <v>37</v>
      </c>
      <c r="L133" s="10" t="s">
        <v>38</v>
      </c>
      <c r="M133" s="10"/>
    </row>
    <row r="134" customFormat="false" ht="31.5" hidden="false" customHeight="true" outlineLevel="0" collapsed="false">
      <c r="B134" s="10" t="s">
        <v>519</v>
      </c>
      <c r="C134" s="10" t="s">
        <v>520</v>
      </c>
      <c r="D134" s="10"/>
      <c r="E134" s="10" t="s">
        <v>50</v>
      </c>
      <c r="F134" s="10" t="s">
        <v>521</v>
      </c>
      <c r="G134" s="10" t="s">
        <v>52</v>
      </c>
      <c r="H134" s="10" t="s">
        <v>35</v>
      </c>
      <c r="I134" s="15" t="s">
        <v>141</v>
      </c>
      <c r="J134" s="10" t="s">
        <v>142</v>
      </c>
      <c r="K134" s="12" t="s">
        <v>37</v>
      </c>
      <c r="L134" s="10" t="s">
        <v>38</v>
      </c>
      <c r="M134" s="10"/>
    </row>
    <row r="135" customFormat="false" ht="31.5" hidden="false" customHeight="true" outlineLevel="0" collapsed="false">
      <c r="B135" s="10" t="s">
        <v>522</v>
      </c>
      <c r="C135" s="10" t="s">
        <v>523</v>
      </c>
      <c r="D135" s="10"/>
      <c r="E135" s="10" t="s">
        <v>59</v>
      </c>
      <c r="F135" s="10" t="s">
        <v>524</v>
      </c>
      <c r="G135" s="10" t="s">
        <v>103</v>
      </c>
      <c r="H135" s="10" t="s">
        <v>35</v>
      </c>
      <c r="I135" s="13" t="s">
        <v>45</v>
      </c>
      <c r="J135" s="10" t="s">
        <v>452</v>
      </c>
      <c r="K135" s="13" t="s">
        <v>37</v>
      </c>
      <c r="L135" s="10" t="s">
        <v>55</v>
      </c>
      <c r="M135" s="10" t="s">
        <v>262</v>
      </c>
    </row>
    <row r="136" customFormat="false" ht="31.5" hidden="false" customHeight="true" outlineLevel="0" collapsed="false">
      <c r="B136" s="10" t="s">
        <v>525</v>
      </c>
      <c r="C136" s="10" t="s">
        <v>526</v>
      </c>
      <c r="D136" s="10"/>
      <c r="E136" s="10" t="s">
        <v>197</v>
      </c>
      <c r="F136" s="10" t="s">
        <v>527</v>
      </c>
      <c r="G136" s="10" t="s">
        <v>34</v>
      </c>
      <c r="H136" s="10" t="s">
        <v>35</v>
      </c>
      <c r="I136" s="15" t="s">
        <v>141</v>
      </c>
      <c r="J136" s="10" t="s">
        <v>142</v>
      </c>
      <c r="K136" s="12" t="s">
        <v>37</v>
      </c>
      <c r="L136" s="10" t="s">
        <v>38</v>
      </c>
      <c r="M136" s="10" t="s">
        <v>444</v>
      </c>
    </row>
    <row r="137" customFormat="false" ht="31.5" hidden="false" customHeight="true" outlineLevel="0" collapsed="false">
      <c r="B137" s="10" t="s">
        <v>528</v>
      </c>
      <c r="C137" s="10" t="s">
        <v>529</v>
      </c>
      <c r="D137" s="10"/>
      <c r="E137" s="10" t="s">
        <v>42</v>
      </c>
      <c r="F137" s="10" t="s">
        <v>530</v>
      </c>
      <c r="G137" s="10" t="s">
        <v>34</v>
      </c>
      <c r="H137" s="10" t="s">
        <v>35</v>
      </c>
      <c r="I137" s="15" t="s">
        <v>141</v>
      </c>
      <c r="J137" s="10" t="s">
        <v>142</v>
      </c>
      <c r="K137" s="12" t="s">
        <v>37</v>
      </c>
      <c r="L137" s="10" t="s">
        <v>38</v>
      </c>
      <c r="M137" s="10"/>
    </row>
    <row r="138" customFormat="false" ht="31.5" hidden="false" customHeight="true" outlineLevel="0" collapsed="false">
      <c r="B138" s="10" t="s">
        <v>531</v>
      </c>
      <c r="C138" s="10" t="s">
        <v>532</v>
      </c>
      <c r="D138" s="10"/>
      <c r="E138" s="10" t="s">
        <v>32</v>
      </c>
      <c r="F138" s="10" t="s">
        <v>533</v>
      </c>
      <c r="G138" s="10" t="s">
        <v>52</v>
      </c>
      <c r="H138" s="10" t="s">
        <v>35</v>
      </c>
      <c r="I138" s="15" t="s">
        <v>141</v>
      </c>
      <c r="J138" s="10" t="s">
        <v>142</v>
      </c>
      <c r="K138" s="12" t="s">
        <v>37</v>
      </c>
      <c r="L138" s="10" t="s">
        <v>38</v>
      </c>
      <c r="M138" s="10" t="s">
        <v>534</v>
      </c>
    </row>
    <row r="139" customFormat="false" ht="31.5" hidden="false" customHeight="true" outlineLevel="0" collapsed="false">
      <c r="B139" s="10" t="s">
        <v>535</v>
      </c>
      <c r="C139" s="10" t="s">
        <v>536</v>
      </c>
      <c r="D139" s="10"/>
      <c r="E139" s="10" t="s">
        <v>154</v>
      </c>
      <c r="F139" s="10" t="s">
        <v>537</v>
      </c>
      <c r="G139" s="10" t="s">
        <v>72</v>
      </c>
      <c r="H139" s="10" t="s">
        <v>35</v>
      </c>
      <c r="I139" s="15" t="s">
        <v>141</v>
      </c>
      <c r="J139" s="10" t="s">
        <v>142</v>
      </c>
      <c r="K139" s="12" t="s">
        <v>37</v>
      </c>
      <c r="L139" s="10" t="s">
        <v>37</v>
      </c>
      <c r="M139" s="10"/>
    </row>
    <row r="140" customFormat="false" ht="31.5" hidden="false" customHeight="true" outlineLevel="0" collapsed="false">
      <c r="B140" s="10" t="s">
        <v>538</v>
      </c>
      <c r="C140" s="10" t="s">
        <v>539</v>
      </c>
      <c r="D140" s="10"/>
      <c r="E140" s="10" t="s">
        <v>50</v>
      </c>
      <c r="F140" s="10" t="s">
        <v>540</v>
      </c>
      <c r="G140" s="10" t="s">
        <v>52</v>
      </c>
      <c r="H140" s="10" t="s">
        <v>35</v>
      </c>
      <c r="I140" s="15" t="s">
        <v>141</v>
      </c>
      <c r="J140" s="10" t="s">
        <v>142</v>
      </c>
      <c r="K140" s="12" t="s">
        <v>37</v>
      </c>
      <c r="L140" s="10" t="s">
        <v>38</v>
      </c>
      <c r="M140" s="10"/>
    </row>
    <row r="141" customFormat="false" ht="31.5" hidden="false" customHeight="true" outlineLevel="0" collapsed="false">
      <c r="B141" s="10" t="s">
        <v>541</v>
      </c>
      <c r="C141" s="10" t="s">
        <v>542</v>
      </c>
      <c r="D141" s="10"/>
      <c r="E141" s="10" t="s">
        <v>32</v>
      </c>
      <c r="F141" s="10" t="s">
        <v>543</v>
      </c>
      <c r="G141" s="10" t="s">
        <v>103</v>
      </c>
      <c r="H141" s="10" t="s">
        <v>35</v>
      </c>
      <c r="I141" s="15" t="s">
        <v>141</v>
      </c>
      <c r="J141" s="10" t="s">
        <v>142</v>
      </c>
      <c r="K141" s="12" t="s">
        <v>37</v>
      </c>
      <c r="L141" s="10" t="s">
        <v>37</v>
      </c>
      <c r="M141" s="10"/>
    </row>
    <row r="142" customFormat="false" ht="31.5" hidden="false" customHeight="true" outlineLevel="0" collapsed="false">
      <c r="B142" s="10" t="s">
        <v>544</v>
      </c>
      <c r="C142" s="10" t="s">
        <v>545</v>
      </c>
      <c r="D142" s="10"/>
      <c r="E142" s="10" t="s">
        <v>197</v>
      </c>
      <c r="F142" s="10" t="s">
        <v>546</v>
      </c>
      <c r="G142" s="10" t="s">
        <v>52</v>
      </c>
      <c r="H142" s="10" t="s">
        <v>35</v>
      </c>
      <c r="I142" s="15" t="s">
        <v>141</v>
      </c>
      <c r="J142" s="10" t="s">
        <v>142</v>
      </c>
      <c r="K142" s="12" t="s">
        <v>37</v>
      </c>
      <c r="L142" s="10" t="s">
        <v>38</v>
      </c>
      <c r="M142" s="10"/>
    </row>
    <row r="143" customFormat="false" ht="31.5" hidden="false" customHeight="true" outlineLevel="0" collapsed="false">
      <c r="B143" s="10" t="s">
        <v>547</v>
      </c>
      <c r="C143" s="10" t="s">
        <v>548</v>
      </c>
      <c r="D143" s="10"/>
      <c r="E143" s="10" t="s">
        <v>154</v>
      </c>
      <c r="F143" s="10" t="s">
        <v>549</v>
      </c>
      <c r="G143" s="10" t="s">
        <v>34</v>
      </c>
      <c r="H143" s="10" t="s">
        <v>35</v>
      </c>
      <c r="I143" s="15" t="s">
        <v>141</v>
      </c>
      <c r="J143" s="10" t="s">
        <v>142</v>
      </c>
      <c r="K143" s="12" t="s">
        <v>37</v>
      </c>
      <c r="L143" s="10" t="s">
        <v>38</v>
      </c>
      <c r="M143" s="10"/>
    </row>
    <row r="144" customFormat="false" ht="31.5" hidden="false" customHeight="true" outlineLevel="0" collapsed="false">
      <c r="B144" s="10" t="s">
        <v>550</v>
      </c>
      <c r="C144" s="10" t="s">
        <v>551</v>
      </c>
      <c r="D144" s="10"/>
      <c r="E144" s="10" t="s">
        <v>50</v>
      </c>
      <c r="F144" s="10" t="s">
        <v>552</v>
      </c>
      <c r="G144" s="10" t="s">
        <v>52</v>
      </c>
      <c r="H144" s="10" t="s">
        <v>35</v>
      </c>
      <c r="I144" s="15" t="s">
        <v>141</v>
      </c>
      <c r="J144" s="10" t="s">
        <v>142</v>
      </c>
      <c r="K144" s="12" t="s">
        <v>37</v>
      </c>
      <c r="L144" s="10" t="s">
        <v>38</v>
      </c>
      <c r="M144" s="10"/>
    </row>
    <row r="145" customFormat="false" ht="31.5" hidden="false" customHeight="true" outlineLevel="0" collapsed="false">
      <c r="B145" s="10" t="s">
        <v>553</v>
      </c>
      <c r="C145" s="10" t="s">
        <v>554</v>
      </c>
      <c r="D145" s="10"/>
      <c r="E145" s="10" t="s">
        <v>114</v>
      </c>
      <c r="F145" s="10" t="s">
        <v>505</v>
      </c>
      <c r="G145" s="10" t="s">
        <v>103</v>
      </c>
      <c r="H145" s="10" t="s">
        <v>35</v>
      </c>
      <c r="I145" s="15" t="s">
        <v>141</v>
      </c>
      <c r="J145" s="10" t="s">
        <v>142</v>
      </c>
      <c r="K145" s="13" t="s">
        <v>37</v>
      </c>
      <c r="L145" s="10" t="s">
        <v>55</v>
      </c>
      <c r="M145" s="10" t="s">
        <v>555</v>
      </c>
    </row>
    <row r="146" customFormat="false" ht="31.5" hidden="false" customHeight="true" outlineLevel="0" collapsed="false">
      <c r="B146" s="10" t="s">
        <v>556</v>
      </c>
      <c r="C146" s="10" t="s">
        <v>557</v>
      </c>
      <c r="D146" s="10"/>
      <c r="E146" s="10" t="s">
        <v>32</v>
      </c>
      <c r="F146" s="10" t="s">
        <v>533</v>
      </c>
      <c r="G146" s="10" t="s">
        <v>103</v>
      </c>
      <c r="H146" s="10" t="s">
        <v>35</v>
      </c>
      <c r="I146" s="15" t="s">
        <v>141</v>
      </c>
      <c r="J146" s="10" t="s">
        <v>142</v>
      </c>
      <c r="K146" s="12" t="s">
        <v>37</v>
      </c>
      <c r="L146" s="10" t="s">
        <v>37</v>
      </c>
      <c r="M146" s="10" t="s">
        <v>558</v>
      </c>
    </row>
    <row r="147" customFormat="false" ht="15" hidden="false" customHeight="false" outlineLevel="0" collapsed="false"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</row>
    <row r="148" customFormat="false" ht="15" hidden="false" customHeight="false" outlineLevel="0" collapsed="false"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</row>
    <row r="149" customFormat="false" ht="15" hidden="false" customHeight="false" outlineLevel="0" collapsed="false"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</row>
    <row r="150" customFormat="false" ht="15" hidden="false" customHeight="false" outlineLevel="0" collapsed="false"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</row>
    <row r="151" customFormat="false" ht="15" hidden="false" customHeight="false" outlineLevel="0" collapsed="false"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</row>
    <row r="152" customFormat="false" ht="15" hidden="false" customHeight="false" outlineLevel="0" collapsed="false"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</row>
    <row r="153" customFormat="false" ht="15" hidden="false" customHeight="false" outlineLevel="0" collapsed="false"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</row>
    <row r="154" customFormat="false" ht="15" hidden="false" customHeight="false" outlineLevel="0" collapsed="false"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</row>
  </sheetData>
  <mergeCells count="2">
    <mergeCell ref="B2:M2"/>
    <mergeCell ref="B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75"/>
    <col collapsed="false" customWidth="true" hidden="false" outlineLevel="0" max="3" min="2" style="1" width="34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7" min="6" style="1" width="14"/>
  </cols>
  <sheetData>
    <row r="2" customFormat="false" ht="24" hidden="false" customHeight="true" outlineLevel="0" collapsed="false">
      <c r="B2" s="2" t="s">
        <v>559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560</v>
      </c>
      <c r="C3" s="3"/>
      <c r="D3" s="3"/>
      <c r="E3" s="3"/>
      <c r="F3" s="3"/>
      <c r="G3" s="3"/>
    </row>
    <row r="5" customFormat="false" ht="21.75" hidden="false" customHeight="true" outlineLevel="0" collapsed="false">
      <c r="B5" s="9" t="s">
        <v>561</v>
      </c>
      <c r="C5" s="9" t="s">
        <v>562</v>
      </c>
      <c r="D5" s="9" t="s">
        <v>563</v>
      </c>
      <c r="E5" s="9" t="s">
        <v>564</v>
      </c>
      <c r="F5" s="9" t="s">
        <v>565</v>
      </c>
      <c r="G5" s="9" t="s">
        <v>25</v>
      </c>
    </row>
    <row r="6" customFormat="false" ht="45.75" hidden="false" customHeight="true" outlineLevel="0" collapsed="false">
      <c r="B6" s="10" t="s">
        <v>566</v>
      </c>
      <c r="C6" s="10" t="s">
        <v>567</v>
      </c>
      <c r="D6" s="10" t="s">
        <v>568</v>
      </c>
      <c r="E6" s="12" t="s">
        <v>38</v>
      </c>
      <c r="F6" s="12" t="s">
        <v>569</v>
      </c>
      <c r="G6" s="12" t="s">
        <v>570</v>
      </c>
    </row>
    <row r="7" customFormat="false" ht="45.75" hidden="false" customHeight="true" outlineLevel="0" collapsed="false">
      <c r="B7" s="10" t="s">
        <v>571</v>
      </c>
      <c r="C7" s="10" t="s">
        <v>572</v>
      </c>
      <c r="D7" s="10" t="s">
        <v>573</v>
      </c>
      <c r="E7" s="12" t="s">
        <v>38</v>
      </c>
      <c r="F7" s="12" t="s">
        <v>574</v>
      </c>
      <c r="G7" s="12" t="s">
        <v>570</v>
      </c>
    </row>
    <row r="8" customFormat="false" ht="45.75" hidden="false" customHeight="true" outlineLevel="0" collapsed="false">
      <c r="B8" s="10" t="s">
        <v>575</v>
      </c>
      <c r="C8" s="10" t="s">
        <v>576</v>
      </c>
      <c r="D8" s="10" t="s">
        <v>577</v>
      </c>
      <c r="E8" s="12" t="s">
        <v>38</v>
      </c>
      <c r="F8" s="12" t="s">
        <v>574</v>
      </c>
      <c r="G8" s="12" t="s">
        <v>570</v>
      </c>
    </row>
    <row r="9" customFormat="false" ht="45.75" hidden="false" customHeight="true" outlineLevel="0" collapsed="false">
      <c r="B9" s="10" t="s">
        <v>578</v>
      </c>
      <c r="C9" s="10" t="s">
        <v>579</v>
      </c>
      <c r="D9" s="10" t="s">
        <v>573</v>
      </c>
      <c r="E9" s="12" t="s">
        <v>38</v>
      </c>
      <c r="F9" s="12" t="s">
        <v>574</v>
      </c>
      <c r="G9" s="12" t="s">
        <v>570</v>
      </c>
    </row>
    <row r="10" customFormat="false" ht="45.75" hidden="false" customHeight="true" outlineLevel="0" collapsed="false">
      <c r="B10" s="10" t="s">
        <v>580</v>
      </c>
      <c r="C10" s="10" t="s">
        <v>581</v>
      </c>
      <c r="D10" s="10" t="s">
        <v>577</v>
      </c>
      <c r="E10" s="12" t="s">
        <v>38</v>
      </c>
      <c r="F10" s="12" t="s">
        <v>574</v>
      </c>
      <c r="G10" s="12" t="s">
        <v>570</v>
      </c>
    </row>
    <row r="11" customFormat="false" ht="45.75" hidden="false" customHeight="true" outlineLevel="0" collapsed="false">
      <c r="B11" s="10" t="s">
        <v>582</v>
      </c>
      <c r="C11" s="10" t="s">
        <v>583</v>
      </c>
      <c r="D11" s="10" t="s">
        <v>584</v>
      </c>
      <c r="E11" s="12" t="s">
        <v>38</v>
      </c>
      <c r="F11" s="12" t="s">
        <v>574</v>
      </c>
      <c r="G11" s="12" t="s">
        <v>570</v>
      </c>
    </row>
    <row r="12" customFormat="false" ht="45.75" hidden="false" customHeight="true" outlineLevel="0" collapsed="false">
      <c r="B12" s="10" t="s">
        <v>585</v>
      </c>
      <c r="C12" s="10" t="s">
        <v>586</v>
      </c>
      <c r="D12" s="10" t="s">
        <v>587</v>
      </c>
      <c r="E12" s="12" t="s">
        <v>38</v>
      </c>
      <c r="F12" s="12" t="s">
        <v>588</v>
      </c>
      <c r="G12" s="13" t="s">
        <v>589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2026-07-25T03:15:28Z</dcterms:created>
  <dc:creator>openpyxl</dc:creator>
  <dc:description/>
  <dc:language>en-US</dc:language>
  <cp:lastModifiedBy/>
  <dcterms:modified xsi:type="dcterms:W3CDTF">2026-08-07T21:14:27Z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